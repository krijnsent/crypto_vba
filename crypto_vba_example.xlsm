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47C2BF19-D9BC-40B9-ADD7-CEED6EB6102C}" xr6:coauthVersionLast="45" xr6:coauthVersionMax="45" xr10:uidLastSave="{00000000-0000-0000-0000-000000000000}"/>
  <bookViews>
    <workbookView xWindow="-108" yWindow="-108" windowWidth="23256" windowHeight="12576" tabRatio="669" firstSheet="2" activeTab="6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Kraken" sheetId="1" r:id="rId13"/>
    <sheet name="Kucoin" sheetId="10" r:id="rId14"/>
    <sheet name="OKEx" sheetId="18" r:id="rId15"/>
    <sheet name="Poloniex" sheetId="4" r:id="rId16"/>
  </sheets>
  <functionGroups builtInGroupCount="19"/>
  <externalReferences>
    <externalReference r:id="rId17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D29" i="9"/>
  <c r="F25" i="8"/>
  <c r="D72" i="9" a="1"/>
  <c r="D16" i="9"/>
  <c r="D41" i="9"/>
  <c r="D42" i="9"/>
  <c r="D18" i="9"/>
  <c r="D59" i="9" a="1"/>
  <c r="D17" i="9"/>
  <c r="D30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<sst xmlns="http://schemas.openxmlformats.org/spreadsheetml/2006/main" count="2545" uniqueCount="1269">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</sst>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</cellXfs>
  <cellStyles count="2">
    <cellStyle name="Komma" xfId="1" builtinId="3"/>
    <cellStyle name="Standaard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Kraken"/>
      <sheetName val="Kucoin"/>
      <sheetName val="OKEx"/>
      <sheetName val="Poloniex"/>
      <sheetName val="crypto_vba_example_dev"/>
    </sheetNames>
    <sheetDataSet>
      <sheetData sheetId="0"/>
      <sheetData sheetId="1"/>
      <sheetData sheetId="2"/>
      <sheetData sheetId="3">
        <row r="3">
          <cell r="C3" t="str">
            <v>EOSETH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D17" sqref="D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135.99</v>
      </c>
    </row>
    <row r="17" spans="2:10" x14ac:dyDescent="0.2">
      <c r="C17" s="4" t="s">
        <v>80</v>
      </c>
      <c r="D17" s="7">
        <f ca="1">C_LAST_PRICE("XLM","BTC","Kraken")</f>
        <v>5.8499999999999999E-6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55.26</v>
      </c>
    </row>
    <row r="30" spans="2:10" x14ac:dyDescent="0.2">
      <c r="C30" s="4" t="s">
        <v>83</v>
      </c>
      <c r="D30" s="6">
        <f ca="1">C_HIST_PRICE("XLM","BTC",DATE(2018,1,1), "Poloniex")</f>
        <v>5.8499999999999999E-6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43834</v>
      </c>
      <c r="E60" s="6">
        <f ca="1"/>
        <v>1.8239999999999999E-2</v>
      </c>
      <c r="F60" s="6">
        <f ca="1"/>
        <v>34467.879999999997</v>
      </c>
    </row>
    <row r="61" spans="3:6" x14ac:dyDescent="0.2">
      <c r="D61" s="10">
        <f ca="1"/>
        <v>43835</v>
      </c>
      <c r="E61" s="6">
        <f ca="1"/>
        <v>1.8409999999999999E-2</v>
      </c>
      <c r="F61" s="6">
        <f ca="1"/>
        <v>40850.9</v>
      </c>
    </row>
    <row r="62" spans="3:6" x14ac:dyDescent="0.2">
      <c r="D62" s="10">
        <f ca="1"/>
        <v>43836</v>
      </c>
      <c r="E62" s="6">
        <f ca="1"/>
        <v>1.857E-2</v>
      </c>
      <c r="F62" s="6">
        <f ca="1"/>
        <v>54769.42</v>
      </c>
    </row>
    <row r="63" spans="3:6" x14ac:dyDescent="0.2">
      <c r="D63" s="10">
        <f ca="1"/>
        <v>43837</v>
      </c>
      <c r="E63" s="6">
        <f ca="1"/>
        <v>1.7510000000000001E-2</v>
      </c>
      <c r="F63" s="6">
        <f ca="1"/>
        <v>64169.440000000002</v>
      </c>
    </row>
    <row r="64" spans="3:6" x14ac:dyDescent="0.2">
      <c r="D64" s="10">
        <f ca="1"/>
        <v>43838</v>
      </c>
      <c r="E64" s="6">
        <f ca="1"/>
        <v>1.746E-2</v>
      </c>
      <c r="F64" s="6">
        <f ca="1"/>
        <v>71178.33</v>
      </c>
    </row>
    <row r="65" spans="3:11" x14ac:dyDescent="0.2">
      <c r="D65" s="10">
        <f ca="1"/>
        <v>43839</v>
      </c>
      <c r="E65" s="6">
        <f ca="1"/>
        <v>1.762E-2</v>
      </c>
      <c r="F65" s="6">
        <f ca="1"/>
        <v>45121.09</v>
      </c>
    </row>
    <row r="66" spans="3:11" x14ac:dyDescent="0.2">
      <c r="D66" s="10">
        <f ca="1"/>
        <v>43840</v>
      </c>
      <c r="E66" s="6">
        <f ca="1"/>
        <v>1.7680000000000001E-2</v>
      </c>
      <c r="F66" s="6">
        <f ca="1"/>
        <v>55424.45</v>
      </c>
    </row>
    <row r="67" spans="3:11" x14ac:dyDescent="0.2">
      <c r="D67" s="10">
        <f ca="1"/>
        <v>43841</v>
      </c>
      <c r="E67" s="6">
        <f ca="1"/>
        <v>1.7760000000000001E-2</v>
      </c>
      <c r="F67" s="6">
        <f ca="1"/>
        <v>46205.96</v>
      </c>
    </row>
    <row r="68" spans="3:11" x14ac:dyDescent="0.2">
      <c r="D68" s="10">
        <f ca="1"/>
        <v>43842</v>
      </c>
      <c r="E68" s="6">
        <f ca="1"/>
        <v>1.789E-2</v>
      </c>
      <c r="F68" s="6">
        <f ca="1"/>
        <v>35273.040000000001</v>
      </c>
    </row>
    <row r="69" spans="3:11" x14ac:dyDescent="0.2">
      <c r="D69" s="10">
        <f ca="1"/>
        <v>43843</v>
      </c>
      <c r="E69" s="6">
        <f ca="1"/>
        <v>1.77E-2</v>
      </c>
      <c r="F69" s="6">
        <f ca="1"/>
        <v>35797.120000000003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tabSelected="1" workbookViewId="0">
      <selection activeCell="B4" sqref="B4"/>
    </sheetView>
  </sheetViews>
  <sheetFormatPr defaultRowHeight="14.4" x14ac:dyDescent="0.3"/>
  <cols>
    <col min="1" max="1" width="3.7773437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1263</v>
      </c>
    </row>
    <row r="3" spans="1:3" s="1" customFormat="1" ht="11.4" x14ac:dyDescent="0.2">
      <c r="B3" s="16" t="s">
        <v>1268</v>
      </c>
    </row>
    <row r="4" spans="1:3" s="1" customFormat="1" ht="11.4" x14ac:dyDescent="0.2">
      <c r="B4" s="1" t="s">
        <v>142</v>
      </c>
    </row>
    <row r="5" spans="1:3" s="1" customFormat="1" ht="11.4" x14ac:dyDescent="0.2"/>
    <row r="6" spans="1:3" s="1" customFormat="1" ht="11.4" x14ac:dyDescent="0.2">
      <c r="B6" s="4" t="s">
        <v>1264</v>
      </c>
      <c r="C6" s="19" t="s">
        <v>1265</v>
      </c>
    </row>
    <row r="7" spans="1:3" s="1" customFormat="1" ht="11.4" x14ac:dyDescent="0.2">
      <c r="B7" s="4" t="s">
        <v>1266</v>
      </c>
      <c r="C7" s="19" t="s">
        <v>1265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141</v>
      </c>
    </row>
    <row r="12" spans="1:3" s="1" customFormat="1" ht="11.4" x14ac:dyDescent="0.2">
      <c r="A12" s="4"/>
    </row>
    <row r="13" spans="1:3" s="1" customFormat="1" ht="11.4" x14ac:dyDescent="0.2">
      <c r="B13" s="1" t="s">
        <v>1267</v>
      </c>
    </row>
    <row r="14" spans="1:3" s="1" customFormat="1" ht="11.4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1245</v>
      </c>
    </row>
    <row r="3" spans="1:6" x14ac:dyDescent="0.2">
      <c r="B3" s="16" t="s">
        <v>1246</v>
      </c>
    </row>
    <row r="4" spans="1:6" x14ac:dyDescent="0.2">
      <c r="B4" s="1" t="s">
        <v>142</v>
      </c>
    </row>
    <row r="6" spans="1:6" x14ac:dyDescent="0.2">
      <c r="B6" s="4" t="s">
        <v>1247</v>
      </c>
      <c r="C6" s="19" t="s">
        <v>1240</v>
      </c>
    </row>
    <row r="7" spans="1:6" x14ac:dyDescent="0.2">
      <c r="B7" s="4" t="s">
        <v>1248</v>
      </c>
      <c r="C7" s="47" t="s">
        <v>1240</v>
      </c>
    </row>
    <row r="8" spans="1:6" x14ac:dyDescent="0.2">
      <c r="B8" s="4" t="s">
        <v>1249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1250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2">
      <c r="A33" s="4" t="s">
        <v>144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25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2">
      <c r="A40" s="4" t="s">
        <v>145</v>
      </c>
    </row>
    <row r="42" spans="1:14" x14ac:dyDescent="0.2">
      <c r="B42" s="2" t="s">
        <v>311</v>
      </c>
      <c r="C42" s="2"/>
      <c r="D42" s="2"/>
    </row>
    <row r="43" spans="1:14" x14ac:dyDescent="0.2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2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16</vt:i4>
      </vt:variant>
      <vt:variant>
        <vt:lpstr>Benoemde bereiken</vt:lpstr>
      </vt:variant>
      <vt:variant>
        <vt:i4>32</vt:i4>
      </vt:variant>
    </vt:vector>
  </HeadingPairs>
  <TitlesOfParts>
    <vt:vector size="48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2020-01-14T09:32:55Z</dcterms:modified>
</cp:coreProperties>
</file>