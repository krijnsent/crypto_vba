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astoro\Documents\GitHub\crypto_vba\"/>
    </mc:Choice>
  </mc:AlternateContent>
  <bookViews>
    <workbookView xWindow="0" yWindow="0" windowWidth="17256" windowHeight="5928" activeTab="1"/>
  </bookViews>
  <sheets>
    <sheet name="KRAKEN" sheetId="1" r:id="rId1"/>
    <sheet name="Bittrex" sheetId="3" r:id="rId2"/>
    <sheet name="BTCe" sheetId="2" r:id="rId3"/>
  </sheets>
  <functionGroups builtInGroupCount="18"/>
  <definedNames>
    <definedName name="apikey_bittrex">Bittrex!$C$2</definedName>
    <definedName name="apikey_btce">BTCe!$C$2</definedName>
    <definedName name="apikey_kraken">KRAKEN!$C$2</definedName>
    <definedName name="secretkey_bittrex">Bittrex!$C$3</definedName>
    <definedName name="secretkey_btce">BTCe!$C$3</definedName>
    <definedName name="secretkey_kraken">KRAKEN!$C$3</definedName>
  </definedName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32" i="2" l="1"/>
  <c r="K38" i="2"/>
  <c r="L31" i="2"/>
  <c r="K37" i="2"/>
</calcChain>
</file>

<file path=xl/sharedStrings.xml><?xml version="1.0" encoding="utf-8"?>
<sst xmlns="http://schemas.openxmlformats.org/spreadsheetml/2006/main" count="191" uniqueCount="71">
  <si>
    <t>apikey_kraken</t>
  </si>
  <si>
    <t>GROUP_1</t>
  </si>
  <si>
    <t>unixtime</t>
  </si>
  <si>
    <t>rfc1123</t>
  </si>
  <si>
    <t>result</t>
  </si>
  <si>
    <t>secretkey_kraken</t>
  </si>
  <si>
    <t>GROUP_2</t>
  </si>
  <si>
    <t>GROUP_3</t>
  </si>
  <si>
    <t>refid</t>
  </si>
  <si>
    <t>time</t>
  </si>
  <si>
    <t>type</t>
  </si>
  <si>
    <t>aclass</t>
  </si>
  <si>
    <t>asset</t>
  </si>
  <si>
    <t>amount</t>
  </si>
  <si>
    <t>fee</t>
  </si>
  <si>
    <t>balance</t>
  </si>
  <si>
    <t>NODE_LVL</t>
  </si>
  <si>
    <t>PARENT</t>
  </si>
  <si>
    <t>KEY</t>
  </si>
  <si>
    <t>VALUE</t>
  </si>
  <si>
    <t>TYPE</t>
  </si>
  <si>
    <t>MAIN</t>
  </si>
  <si>
    <t>error</t>
  </si>
  <si>
    <t>OBJ</t>
  </si>
  <si>
    <t>VAL</t>
  </si>
  <si>
    <t>Output after ResArr = JsonToArray(Json)</t>
  </si>
  <si>
    <t>Output after Tbl = ArrayTable(ResArr)</t>
  </si>
  <si>
    <t>Column1</t>
  </si>
  <si>
    <t>Kraken deposits</t>
  </si>
  <si>
    <t>your api key here</t>
  </si>
  <si>
    <t>your secret key here</t>
  </si>
  <si>
    <t>apikey_btce</t>
  </si>
  <si>
    <t>secretkey_btce</t>
  </si>
  <si>
    <t>btc_eur</t>
  </si>
  <si>
    <t>high</t>
  </si>
  <si>
    <t>low</t>
  </si>
  <si>
    <t>avg</t>
  </si>
  <si>
    <t>vol</t>
  </si>
  <si>
    <t>vol_cur</t>
  </si>
  <si>
    <t>last</t>
  </si>
  <si>
    <t>buy</t>
  </si>
  <si>
    <t>sell</t>
  </si>
  <si>
    <t>updated</t>
  </si>
  <si>
    <t>eth_eur</t>
  </si>
  <si>
    <t>UnixtimeToDate</t>
  </si>
  <si>
    <t>return</t>
  </si>
  <si>
    <t>pair</t>
  </si>
  <si>
    <t>rate</t>
  </si>
  <si>
    <t>order_id</t>
  </si>
  <si>
    <t>is_your_order</t>
  </si>
  <si>
    <t>timestamp</t>
  </si>
  <si>
    <t>date</t>
  </si>
  <si>
    <t>BTCe trade history btc_eur</t>
  </si>
  <si>
    <t>apikey_bittrex</t>
  </si>
  <si>
    <t>secretkey_bittrex</t>
  </si>
  <si>
    <t>success</t>
  </si>
  <si>
    <t>message</t>
  </si>
  <si>
    <t>Bid</t>
  </si>
  <si>
    <t>Ask</t>
  </si>
  <si>
    <t>Last</t>
  </si>
  <si>
    <t>Thu,  7 Sep 17 09:15:34 +0000</t>
  </si>
  <si>
    <t>Currency</t>
  </si>
  <si>
    <t>BCC</t>
  </si>
  <si>
    <t>BTC</t>
  </si>
  <si>
    <t>Balance</t>
  </si>
  <si>
    <t>Available</t>
  </si>
  <si>
    <t>Pending</t>
  </si>
  <si>
    <t>CryptoAddress</t>
  </si>
  <si>
    <t>1blabla</t>
  </si>
  <si>
    <t>1blablabla</t>
  </si>
  <si>
    <t>Bittrex balances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</si>
</sst>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(* #,##0.00_);_(* \(#,##0.00\);_(* &quot;-&quot;??_);_(@_)"/>
    <numFmt numFmtId="165" formatCode="d\-mmm\-yy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36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1" xfId="0" applyFont="1" applyBorder="1"/>
    <xf numFmtId="0" fontId="0" fillId="0" borderId="2" xfId="0" applyFont="1" applyBorder="1"/>
    <xf numFmtId="0" fontId="0" fillId="0" borderId="3" xfId="0" applyFont="1" applyBorder="1"/>
    <xf numFmtId="0" fontId="0" fillId="0" borderId="4" xfId="0" applyFont="1" applyBorder="1"/>
    <xf numFmtId="0" fontId="0" fillId="0" borderId="5" xfId="0" applyFont="1" applyBorder="1"/>
    <xf numFmtId="0" fontId="0" fillId="0" borderId="6" xfId="0" applyFont="1" applyBorder="1"/>
    <xf numFmtId="0" fontId="0" fillId="0" borderId="0" xfId="0" applyFont="1" applyBorder="1"/>
    <xf numFmtId="0" fontId="0" fillId="0" borderId="7" xfId="0" applyFont="1" applyBorder="1"/>
    <xf numFmtId="0" fontId="0" fillId="0" borderId="8" xfId="0" applyFont="1" applyBorder="1"/>
    <xf numFmtId="0" fontId="1" fillId="3" borderId="0" xfId="0" quotePrefix="1" applyFont="1" applyFill="1"/>
    <xf numFmtId="0" fontId="0" fillId="3" borderId="0" xfId="0" applyFill="1"/>
    <xf numFmtId="15" fontId="0" fillId="0" borderId="0" xfId="0" applyNumberFormat="1"/>
    <xf numFmtId="0" fontId="0" fillId="0" borderId="8" xfId="0" applyBorder="1"/>
    <xf numFmtId="0" fontId="0" fillId="0" borderId="0" xfId="0" applyBorder="1"/>
    <xf numFmtId="0" fontId="0" fillId="0" borderId="7" xfId="0" applyBorder="1"/>
    <xf numFmtId="164" fontId="0" fillId="0" borderId="0" xfId="1" applyFont="1"/>
    <xf numFmtId="164" fontId="0" fillId="0" borderId="0" xfId="1" applyFont="1" applyBorder="1"/>
    <xf numFmtId="164" fontId="0" fillId="0" borderId="5" xfId="1" applyFont="1" applyBorder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0" fillId="0" borderId="7" xfId="1" applyNumberFormat="1" applyFont="1" applyBorder="1"/>
    <xf numFmtId="0" fontId="0" fillId="0" borderId="6" xfId="1" applyNumberFormat="1" applyFont="1" applyBorder="1"/>
    <xf numFmtId="0" fontId="1" fillId="0" borderId="9" xfId="0" applyFont="1" applyFill="1" applyBorder="1"/>
    <xf numFmtId="15" fontId="0" fillId="0" borderId="10" xfId="0" applyNumberFormat="1" applyBorder="1"/>
    <xf numFmtId="15" fontId="0" fillId="0" borderId="11" xfId="0" applyNumberFormat="1" applyBorder="1"/>
    <xf numFmtId="165" fontId="0" fillId="0" borderId="0" xfId="0" applyNumberFormat="1"/>
  </cellXfs>
  <cellStyles count="2">
    <cellStyle name="Comma" xfId="1" builtinId="3"/>
    <cellStyle name="Normal" xfId="0" builtinId="0"/>
  </cellStyles>
  <dxfs count="2">
    <dxf>
      <numFmt numFmtId="165" formatCode="d\-mmm\-yy"/>
    </dxf>
    <dxf>
      <numFmt numFmtId="165" formatCode="d\-mmm\-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4" name="Tbl_Kraken_Ledgers" displayName="Tbl_Kraken_Ledgers" ref="B20:M21" insertRow="1" totalsRowShown="0">
  <autoFilter ref="B20:M21"/>
  <tableColumns count="12">
    <tableColumn id="1" name="GROUP_1"/>
    <tableColumn id="2" name="GROUP_2"/>
    <tableColumn id="3" name="GROUP_3"/>
    <tableColumn id="4" name="refid"/>
    <tableColumn id="5" name="time"/>
    <tableColumn id="6" name="type"/>
    <tableColumn id="7" name="aclass"/>
    <tableColumn id="8" name="asset"/>
    <tableColumn id="9" name="amount"/>
    <tableColumn id="10" name="fee"/>
    <tableColumn id="11" name="balance"/>
    <tableColumn id="12" name="Column1" dataDxfId="1">
      <calculatedColumnFormula>UnixTimeToDate(Tbl_Kraken_Ledgers[[#This Row],[time]])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bl_Bittrex_Ledgers" displayName="Tbl_Bittrex_Ledgers" ref="B22:H24" totalsRowShown="0">
  <autoFilter ref="B22:H24"/>
  <tableColumns count="7">
    <tableColumn id="1" name="GROUP_1"/>
    <tableColumn id="2" name="GROUP_2"/>
    <tableColumn id="3" name="Currency"/>
    <tableColumn id="4" name="Balance"/>
    <tableColumn id="5" name="Available"/>
    <tableColumn id="6" name="Pending"/>
    <tableColumn id="7" name="CryptoAddres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" name="Tbl_BTCe_Trades" displayName="Tbl_BTCe_Trades" ref="B36:K38" totalsRowShown="0">
  <autoFilter ref="B36:K38"/>
  <tableColumns count="10">
    <tableColumn id="1" name="GROUP_1"/>
    <tableColumn id="2" name="GROUP_2"/>
    <tableColumn id="3" name="pair"/>
    <tableColumn id="4" name="type"/>
    <tableColumn id="5" name="amount" dataCellStyle="Comma"/>
    <tableColumn id="6" name="rate" dataCellStyle="Comma"/>
    <tableColumn id="7" name="order_id"/>
    <tableColumn id="8" name="is_your_order"/>
    <tableColumn id="9" name="timestamp"/>
    <tableColumn id="10" name="date" dataDxfId="0">
      <calculatedColumnFormula>UnixTimeToDate(Tbl_BTCe_Trades[[#This Row],[timestamp]])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M21"/>
  <sheetViews>
    <sheetView zoomScale="85" zoomScaleNormal="85" workbookViewId="0">
      <selection activeCell="B7" sqref="B7"/>
    </sheetView>
  </sheetViews>
  <sheetFormatPr defaultRowHeight="14.4" x14ac:dyDescent="0.3"/>
  <cols>
    <col min="1" max="1" width="2.44140625" customWidth="1"/>
    <col min="2" max="2" width="20.109375" customWidth="1"/>
    <col min="3" max="3" width="98.6640625" bestFit="1" customWidth="1"/>
    <col min="4" max="4" width="28.109375" bestFit="1" customWidth="1"/>
    <col min="5" max="5" width="25.77734375" bestFit="1" customWidth="1"/>
    <col min="6" max="6" width="11.33203125" bestFit="1" customWidth="1"/>
    <col min="7" max="7" width="7.5546875" bestFit="1" customWidth="1"/>
    <col min="8" max="8" width="8.5546875" bestFit="1" customWidth="1"/>
    <col min="9" max="9" width="8" bestFit="1" customWidth="1"/>
    <col min="10" max="10" width="12.44140625" bestFit="1" customWidth="1"/>
    <col min="11" max="11" width="6.21875" bestFit="1" customWidth="1"/>
    <col min="12" max="12" width="12.44140625" bestFit="1" customWidth="1"/>
    <col min="13" max="13" width="9.5546875" bestFit="1" customWidth="1"/>
  </cols>
  <sheetData>
    <row r="2" spans="2:6" x14ac:dyDescent="0.3">
      <c r="B2" s="1" t="s">
        <v>0</v>
      </c>
      <c r="C2" s="2" t="s">
        <v>29</v>
      </c>
    </row>
    <row r="3" spans="2:6" x14ac:dyDescent="0.3">
      <c r="B3" s="1" t="s">
        <v>5</v>
      </c>
      <c r="C3" s="2" t="s">
        <v>30</v>
      </c>
    </row>
    <row r="5" spans="2:6" ht="15" thickBot="1" x14ac:dyDescent="0.35">
      <c r="B5" s="18" t="s">
        <v>25</v>
      </c>
      <c r="C5" s="19"/>
      <c r="D5" s="19"/>
      <c r="E5" s="19"/>
      <c r="F5" s="19"/>
    </row>
    <row r="6" spans="2:6" x14ac:dyDescent="0.3">
      <c r="B6" s="9" t="s">
        <v>16</v>
      </c>
      <c r="C6" s="10" t="s">
        <v>17</v>
      </c>
      <c r="D6" s="10" t="s">
        <v>18</v>
      </c>
      <c r="E6" s="10" t="s">
        <v>19</v>
      </c>
      <c r="F6" s="11" t="s">
        <v>20</v>
      </c>
    </row>
    <row r="7" spans="2:6" x14ac:dyDescent="0.3">
      <c r="B7" s="17">
        <v>1</v>
      </c>
      <c r="C7" s="15" t="s">
        <v>21</v>
      </c>
      <c r="D7" s="15" t="s">
        <v>22</v>
      </c>
      <c r="E7" s="15">
        <v>0</v>
      </c>
      <c r="F7" s="16" t="s">
        <v>23</v>
      </c>
    </row>
    <row r="8" spans="2:6" x14ac:dyDescent="0.3">
      <c r="B8" s="17">
        <v>1</v>
      </c>
      <c r="C8" s="15" t="s">
        <v>21</v>
      </c>
      <c r="D8" s="15" t="s">
        <v>4</v>
      </c>
      <c r="E8" s="15">
        <v>2</v>
      </c>
      <c r="F8" s="16" t="s">
        <v>23</v>
      </c>
    </row>
    <row r="9" spans="2:6" x14ac:dyDescent="0.3">
      <c r="B9" s="17">
        <v>2</v>
      </c>
      <c r="C9" s="15" t="s">
        <v>4</v>
      </c>
      <c r="D9" s="15" t="s">
        <v>2</v>
      </c>
      <c r="E9" s="15">
        <v>1504775734</v>
      </c>
      <c r="F9" s="16" t="s">
        <v>24</v>
      </c>
    </row>
    <row r="10" spans="2:6" ht="15" thickBot="1" x14ac:dyDescent="0.35">
      <c r="B10" s="12">
        <v>2</v>
      </c>
      <c r="C10" s="13" t="s">
        <v>4</v>
      </c>
      <c r="D10" s="13" t="s">
        <v>3</v>
      </c>
      <c r="E10" s="13" t="s">
        <v>60</v>
      </c>
      <c r="F10" s="14" t="s">
        <v>24</v>
      </c>
    </row>
    <row r="13" spans="2:6" ht="15" thickBot="1" x14ac:dyDescent="0.35">
      <c r="B13" s="18" t="s">
        <v>26</v>
      </c>
      <c r="C13" s="19"/>
      <c r="D13" s="19"/>
    </row>
    <row r="14" spans="2:6" x14ac:dyDescent="0.3">
      <c r="B14" s="3" t="s">
        <v>1</v>
      </c>
      <c r="C14" s="4" t="s">
        <v>2</v>
      </c>
      <c r="D14" s="5" t="s">
        <v>3</v>
      </c>
    </row>
    <row r="15" spans="2:6" ht="15" thickBot="1" x14ac:dyDescent="0.35">
      <c r="B15" s="6" t="s">
        <v>4</v>
      </c>
      <c r="C15" s="7">
        <v>1504775734</v>
      </c>
      <c r="D15" s="8" t="s">
        <v>60</v>
      </c>
    </row>
    <row r="19" spans="2:13" x14ac:dyDescent="0.3">
      <c r="B19" s="18" t="s">
        <v>28</v>
      </c>
      <c r="C19" s="18"/>
      <c r="D19" s="18"/>
    </row>
    <row r="20" spans="2:13" x14ac:dyDescent="0.3">
      <c r="B20" t="s">
        <v>1</v>
      </c>
      <c r="C20" t="s">
        <v>6</v>
      </c>
      <c r="D20" t="s">
        <v>7</v>
      </c>
      <c r="E20" t="s">
        <v>8</v>
      </c>
      <c r="F20" t="s">
        <v>9</v>
      </c>
      <c r="G20" t="s">
        <v>10</v>
      </c>
      <c r="H20" t="s">
        <v>11</v>
      </c>
      <c r="I20" t="s">
        <v>12</v>
      </c>
      <c r="J20" t="s">
        <v>13</v>
      </c>
      <c r="K20" t="s">
        <v>14</v>
      </c>
      <c r="L20" t="s">
        <v>15</v>
      </c>
      <c r="M20" t="s">
        <v>27</v>
      </c>
    </row>
    <row r="21" spans="2:13" x14ac:dyDescent="0.3">
      <c r="M21" s="35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H24"/>
  <sheetViews>
    <sheetView tabSelected="1" zoomScale="85" zoomScaleNormal="85" workbookViewId="0"/>
  </sheetViews>
  <sheetFormatPr defaultColWidth="19" defaultRowHeight="14.4" x14ac:dyDescent="0.3"/>
  <cols>
    <col min="1" max="1" width="3.5546875" customWidth="1"/>
    <col min="8" max="8" width="66.88671875" bestFit="1" customWidth="1"/>
  </cols>
  <sheetData>
    <row r="2" spans="2:6" x14ac:dyDescent="0.3">
      <c r="B2" s="1" t="s">
        <v>53</v>
      </c>
      <c r="C2" s="2" t="s">
        <v>29</v>
      </c>
    </row>
    <row r="3" spans="2:6" x14ac:dyDescent="0.3">
      <c r="B3" s="1" t="s">
        <v>54</v>
      </c>
      <c r="C3" s="2" t="s">
        <v>30</v>
      </c>
    </row>
    <row r="5" spans="2:6" ht="15" thickBot="1" x14ac:dyDescent="0.35">
      <c r="B5" s="18" t="s">
        <v>25</v>
      </c>
      <c r="C5" s="19"/>
      <c r="D5" s="19"/>
      <c r="E5" s="19"/>
      <c r="F5" s="19"/>
    </row>
    <row r="6" spans="2:6" x14ac:dyDescent="0.3">
      <c r="B6" s="27" t="s">
        <v>16</v>
      </c>
      <c r="C6" s="28" t="s">
        <v>17</v>
      </c>
      <c r="D6" s="28" t="s">
        <v>18</v>
      </c>
      <c r="E6" s="28" t="s">
        <v>19</v>
      </c>
      <c r="F6" s="29" t="s">
        <v>20</v>
      </c>
    </row>
    <row r="7" spans="2:6" x14ac:dyDescent="0.3">
      <c r="B7" s="17">
        <v>1</v>
      </c>
      <c r="C7" s="15" t="s">
        <v>21</v>
      </c>
      <c r="D7" s="15" t="s">
        <v>55</v>
      </c>
      <c r="E7" s="15" t="b">
        <v>1</v>
      </c>
      <c r="F7" s="16" t="s">
        <v>24</v>
      </c>
    </row>
    <row r="8" spans="2:6" x14ac:dyDescent="0.3">
      <c r="B8" s="17">
        <v>1</v>
      </c>
      <c r="C8" s="15" t="s">
        <v>21</v>
      </c>
      <c r="D8" s="15" t="s">
        <v>56</v>
      </c>
      <c r="E8" s="15"/>
      <c r="F8" s="16" t="s">
        <v>24</v>
      </c>
    </row>
    <row r="9" spans="2:6" x14ac:dyDescent="0.3">
      <c r="B9" s="17">
        <v>1</v>
      </c>
      <c r="C9" s="15" t="s">
        <v>21</v>
      </c>
      <c r="D9" s="15" t="s">
        <v>4</v>
      </c>
      <c r="E9" s="15">
        <v>3</v>
      </c>
      <c r="F9" s="16" t="s">
        <v>23</v>
      </c>
    </row>
    <row r="10" spans="2:6" x14ac:dyDescent="0.3">
      <c r="B10" s="17">
        <v>2</v>
      </c>
      <c r="C10" s="15" t="s">
        <v>4</v>
      </c>
      <c r="D10" s="15" t="s">
        <v>57</v>
      </c>
      <c r="E10" s="15">
        <v>4.4000000000000002E-7</v>
      </c>
      <c r="F10" s="16" t="s">
        <v>24</v>
      </c>
    </row>
    <row r="11" spans="2:6" x14ac:dyDescent="0.3">
      <c r="B11" s="21">
        <v>2</v>
      </c>
      <c r="C11" s="22" t="s">
        <v>4</v>
      </c>
      <c r="D11" s="22" t="s">
        <v>58</v>
      </c>
      <c r="E11" s="22">
        <v>4.4999999999999998E-7</v>
      </c>
      <c r="F11" s="23" t="s">
        <v>24</v>
      </c>
    </row>
    <row r="12" spans="2:6" ht="15" thickBot="1" x14ac:dyDescent="0.35">
      <c r="B12" s="6">
        <v>2</v>
      </c>
      <c r="C12" s="7" t="s">
        <v>4</v>
      </c>
      <c r="D12" s="7" t="s">
        <v>59</v>
      </c>
      <c r="E12" s="7">
        <v>4.4000000000000002E-7</v>
      </c>
      <c r="F12" s="8" t="s">
        <v>24</v>
      </c>
    </row>
    <row r="15" spans="2:6" ht="15" thickBot="1" x14ac:dyDescent="0.35">
      <c r="B15" s="18" t="s">
        <v>4</v>
      </c>
      <c r="C15" s="19"/>
      <c r="D15" s="19"/>
      <c r="E15" s="19"/>
    </row>
    <row r="16" spans="2:6" x14ac:dyDescent="0.3">
      <c r="B16" s="27" t="s">
        <v>1</v>
      </c>
      <c r="C16" s="28" t="s">
        <v>57</v>
      </c>
      <c r="D16" s="28" t="s">
        <v>58</v>
      </c>
      <c r="E16" s="29" t="s">
        <v>59</v>
      </c>
    </row>
    <row r="17" spans="2:8" ht="15" thickBot="1" x14ac:dyDescent="0.35">
      <c r="B17" s="6" t="s">
        <v>4</v>
      </c>
      <c r="C17" s="7">
        <v>4.4000000000000002E-7</v>
      </c>
      <c r="D17" s="7">
        <v>4.4999999999999998E-7</v>
      </c>
      <c r="E17" s="8">
        <v>4.4000000000000002E-7</v>
      </c>
    </row>
    <row r="21" spans="2:8" x14ac:dyDescent="0.3">
      <c r="B21" s="18" t="s">
        <v>70</v>
      </c>
      <c r="C21" s="18"/>
      <c r="D21" s="18"/>
    </row>
    <row r="22" spans="2:8" x14ac:dyDescent="0.3">
      <c r="B22" t="s">
        <v>1</v>
      </c>
      <c r="C22" t="s">
        <v>6</v>
      </c>
      <c r="D22" t="s">
        <v>61</v>
      </c>
      <c r="E22" t="s">
        <v>64</v>
      </c>
      <c r="F22" t="s">
        <v>65</v>
      </c>
      <c r="G22" t="s">
        <v>66</v>
      </c>
      <c r="H22" t="s">
        <v>67</v>
      </c>
    </row>
    <row r="23" spans="2:8" x14ac:dyDescent="0.3">
      <c r="B23" t="s">
        <v>4</v>
      </c>
      <c r="C23">
        <v>1</v>
      </c>
      <c r="D23" t="s">
        <v>62</v>
      </c>
      <c r="E23">
        <v>1.7329999999999998E-5</v>
      </c>
      <c r="F23">
        <v>1.7329999999999998E-5</v>
      </c>
      <c r="G23">
        <v>0</v>
      </c>
      <c r="H23" t="s">
        <v>68</v>
      </c>
    </row>
    <row r="24" spans="2:8" x14ac:dyDescent="0.3">
      <c r="B24" t="s">
        <v>4</v>
      </c>
      <c r="C24">
        <v>2</v>
      </c>
      <c r="D24" t="s">
        <v>63</v>
      </c>
      <c r="E24">
        <v>1.7329999999999998E-5</v>
      </c>
      <c r="F24">
        <v>1.7329999999999998E-5</v>
      </c>
      <c r="G24">
        <v>0</v>
      </c>
      <c r="H24" t="s">
        <v>69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L38"/>
  <sheetViews>
    <sheetView workbookViewId="0">
      <selection activeCell="C2" sqref="C2:C3"/>
    </sheetView>
  </sheetViews>
  <sheetFormatPr defaultRowHeight="14.4" x14ac:dyDescent="0.3"/>
  <cols>
    <col min="1" max="1" width="4.109375" customWidth="1"/>
    <col min="2" max="2" width="19" customWidth="1"/>
    <col min="3" max="3" width="36.21875" customWidth="1"/>
    <col min="4" max="4" width="9" bestFit="1" customWidth="1"/>
    <col min="5" max="6" width="10.88671875" bestFit="1" customWidth="1"/>
    <col min="7" max="7" width="9" bestFit="1" customWidth="1"/>
    <col min="8" max="8" width="11" bestFit="1" customWidth="1"/>
    <col min="9" max="9" width="14.5546875" customWidth="1"/>
    <col min="10" max="10" width="11.88671875" customWidth="1"/>
    <col min="11" max="11" width="16.109375" bestFit="1" customWidth="1"/>
    <col min="12" max="12" width="14.6640625" bestFit="1" customWidth="1"/>
  </cols>
  <sheetData>
    <row r="2" spans="2:6" x14ac:dyDescent="0.3">
      <c r="B2" s="1" t="s">
        <v>31</v>
      </c>
      <c r="C2" s="2" t="s">
        <v>29</v>
      </c>
    </row>
    <row r="3" spans="2:6" x14ac:dyDescent="0.3">
      <c r="B3" s="1" t="s">
        <v>32</v>
      </c>
      <c r="C3" s="2" t="s">
        <v>30</v>
      </c>
    </row>
    <row r="5" spans="2:6" ht="15" thickBot="1" x14ac:dyDescent="0.35">
      <c r="B5" s="18" t="s">
        <v>25</v>
      </c>
      <c r="C5" s="19"/>
      <c r="D5" s="19"/>
      <c r="E5" s="19"/>
      <c r="F5" s="19"/>
    </row>
    <row r="6" spans="2:6" x14ac:dyDescent="0.3">
      <c r="B6" s="3" t="s">
        <v>16</v>
      </c>
      <c r="C6" s="4" t="s">
        <v>17</v>
      </c>
      <c r="D6" s="4" t="s">
        <v>18</v>
      </c>
      <c r="E6" s="4" t="s">
        <v>19</v>
      </c>
      <c r="F6" s="5" t="s">
        <v>20</v>
      </c>
    </row>
    <row r="7" spans="2:6" x14ac:dyDescent="0.3">
      <c r="B7" s="21">
        <v>1</v>
      </c>
      <c r="C7" s="22" t="s">
        <v>21</v>
      </c>
      <c r="D7" s="22" t="s">
        <v>33</v>
      </c>
      <c r="E7" s="22">
        <v>9</v>
      </c>
      <c r="F7" s="23" t="s">
        <v>23</v>
      </c>
    </row>
    <row r="8" spans="2:6" x14ac:dyDescent="0.3">
      <c r="B8" s="21">
        <v>2</v>
      </c>
      <c r="C8" s="22" t="s">
        <v>33</v>
      </c>
      <c r="D8" s="22" t="s">
        <v>34</v>
      </c>
      <c r="E8" s="25">
        <v>2449.6142100000002</v>
      </c>
      <c r="F8" s="23" t="s">
        <v>24</v>
      </c>
    </row>
    <row r="9" spans="2:6" x14ac:dyDescent="0.3">
      <c r="B9" s="21">
        <v>2</v>
      </c>
      <c r="C9" s="22" t="s">
        <v>33</v>
      </c>
      <c r="D9" s="22" t="s">
        <v>35</v>
      </c>
      <c r="E9" s="25">
        <v>2330</v>
      </c>
      <c r="F9" s="23" t="s">
        <v>24</v>
      </c>
    </row>
    <row r="10" spans="2:6" x14ac:dyDescent="0.3">
      <c r="B10" s="21">
        <v>2</v>
      </c>
      <c r="C10" s="22" t="s">
        <v>33</v>
      </c>
      <c r="D10" s="22" t="s">
        <v>36</v>
      </c>
      <c r="E10" s="25">
        <v>2389.8071049999999</v>
      </c>
      <c r="F10" s="23" t="s">
        <v>24</v>
      </c>
    </row>
    <row r="11" spans="2:6" x14ac:dyDescent="0.3">
      <c r="B11" s="21">
        <v>2</v>
      </c>
      <c r="C11" s="22" t="s">
        <v>33</v>
      </c>
      <c r="D11" s="22" t="s">
        <v>37</v>
      </c>
      <c r="E11" s="25">
        <v>453713.54395000002</v>
      </c>
      <c r="F11" s="23" t="s">
        <v>24</v>
      </c>
    </row>
    <row r="12" spans="2:6" x14ac:dyDescent="0.3">
      <c r="B12" s="21">
        <v>2</v>
      </c>
      <c r="C12" s="22" t="s">
        <v>33</v>
      </c>
      <c r="D12" s="22" t="s">
        <v>38</v>
      </c>
      <c r="E12" s="25">
        <v>190.49576999999999</v>
      </c>
      <c r="F12" s="23" t="s">
        <v>24</v>
      </c>
    </row>
    <row r="13" spans="2:6" x14ac:dyDescent="0.3">
      <c r="B13" s="21">
        <v>2</v>
      </c>
      <c r="C13" s="22" t="s">
        <v>33</v>
      </c>
      <c r="D13" s="22" t="s">
        <v>39</v>
      </c>
      <c r="E13" s="25">
        <v>2430.0666799999999</v>
      </c>
      <c r="F13" s="23" t="s">
        <v>24</v>
      </c>
    </row>
    <row r="14" spans="2:6" x14ac:dyDescent="0.3">
      <c r="B14" s="21">
        <v>2</v>
      </c>
      <c r="C14" s="22" t="s">
        <v>33</v>
      </c>
      <c r="D14" s="22" t="s">
        <v>40</v>
      </c>
      <c r="E14" s="25">
        <v>2447.9999899999998</v>
      </c>
      <c r="F14" s="23" t="s">
        <v>24</v>
      </c>
    </row>
    <row r="15" spans="2:6" x14ac:dyDescent="0.3">
      <c r="B15" s="21">
        <v>2</v>
      </c>
      <c r="C15" s="22" t="s">
        <v>33</v>
      </c>
      <c r="D15" s="22" t="s">
        <v>41</v>
      </c>
      <c r="E15" s="25">
        <v>2430.1</v>
      </c>
      <c r="F15" s="23" t="s">
        <v>24</v>
      </c>
    </row>
    <row r="16" spans="2:6" x14ac:dyDescent="0.3">
      <c r="B16" s="21">
        <v>2</v>
      </c>
      <c r="C16" s="22" t="s">
        <v>33</v>
      </c>
      <c r="D16" s="22" t="s">
        <v>42</v>
      </c>
      <c r="E16" s="22">
        <v>1497027712</v>
      </c>
      <c r="F16" s="23" t="s">
        <v>24</v>
      </c>
    </row>
    <row r="17" spans="2:12" x14ac:dyDescent="0.3">
      <c r="B17" s="21">
        <v>1</v>
      </c>
      <c r="C17" s="22" t="s">
        <v>21</v>
      </c>
      <c r="D17" s="22" t="s">
        <v>43</v>
      </c>
      <c r="E17" s="22">
        <v>9</v>
      </c>
      <c r="F17" s="23" t="s">
        <v>23</v>
      </c>
    </row>
    <row r="18" spans="2:12" x14ac:dyDescent="0.3">
      <c r="B18" s="21">
        <v>2</v>
      </c>
      <c r="C18" s="22" t="s">
        <v>43</v>
      </c>
      <c r="D18" s="22" t="s">
        <v>34</v>
      </c>
      <c r="E18" s="25">
        <v>239</v>
      </c>
      <c r="F18" s="23" t="s">
        <v>24</v>
      </c>
    </row>
    <row r="19" spans="2:12" x14ac:dyDescent="0.3">
      <c r="B19" s="21">
        <v>2</v>
      </c>
      <c r="C19" s="22" t="s">
        <v>43</v>
      </c>
      <c r="D19" s="22" t="s">
        <v>35</v>
      </c>
      <c r="E19" s="25">
        <v>217.56179</v>
      </c>
      <c r="F19" s="23" t="s">
        <v>24</v>
      </c>
    </row>
    <row r="20" spans="2:12" x14ac:dyDescent="0.3">
      <c r="B20" s="21">
        <v>2</v>
      </c>
      <c r="C20" s="22" t="s">
        <v>43</v>
      </c>
      <c r="D20" s="22" t="s">
        <v>36</v>
      </c>
      <c r="E20" s="25">
        <v>228.28089499999999</v>
      </c>
      <c r="F20" s="23" t="s">
        <v>24</v>
      </c>
    </row>
    <row r="21" spans="2:12" x14ac:dyDescent="0.3">
      <c r="B21" s="21">
        <v>2</v>
      </c>
      <c r="C21" s="22" t="s">
        <v>43</v>
      </c>
      <c r="D21" s="22" t="s">
        <v>37</v>
      </c>
      <c r="E21" s="25">
        <v>96744.346619999997</v>
      </c>
      <c r="F21" s="23" t="s">
        <v>24</v>
      </c>
    </row>
    <row r="22" spans="2:12" x14ac:dyDescent="0.3">
      <c r="B22" s="21">
        <v>2</v>
      </c>
      <c r="C22" s="22" t="s">
        <v>43</v>
      </c>
      <c r="D22" s="22" t="s">
        <v>38</v>
      </c>
      <c r="E22" s="25">
        <v>427.27568000000002</v>
      </c>
      <c r="F22" s="23" t="s">
        <v>24</v>
      </c>
    </row>
    <row r="23" spans="2:12" x14ac:dyDescent="0.3">
      <c r="B23" s="21">
        <v>2</v>
      </c>
      <c r="C23" s="22" t="s">
        <v>43</v>
      </c>
      <c r="D23" s="22" t="s">
        <v>39</v>
      </c>
      <c r="E23" s="25">
        <v>237.83841000000001</v>
      </c>
      <c r="F23" s="23" t="s">
        <v>24</v>
      </c>
    </row>
    <row r="24" spans="2:12" x14ac:dyDescent="0.3">
      <c r="B24" s="21">
        <v>2</v>
      </c>
      <c r="C24" s="22" t="s">
        <v>43</v>
      </c>
      <c r="D24" s="22" t="s">
        <v>40</v>
      </c>
      <c r="E24" s="25">
        <v>237.54508000000001</v>
      </c>
      <c r="F24" s="23" t="s">
        <v>24</v>
      </c>
    </row>
    <row r="25" spans="2:12" x14ac:dyDescent="0.3">
      <c r="B25" s="21">
        <v>2</v>
      </c>
      <c r="C25" s="22" t="s">
        <v>43</v>
      </c>
      <c r="D25" s="22" t="s">
        <v>41</v>
      </c>
      <c r="E25" s="25">
        <v>235.65606</v>
      </c>
      <c r="F25" s="23" t="s">
        <v>24</v>
      </c>
    </row>
    <row r="26" spans="2:12" ht="15" thickBot="1" x14ac:dyDescent="0.35">
      <c r="B26" s="6">
        <v>2</v>
      </c>
      <c r="C26" s="7" t="s">
        <v>43</v>
      </c>
      <c r="D26" s="7" t="s">
        <v>42</v>
      </c>
      <c r="E26" s="7">
        <v>1497027712</v>
      </c>
      <c r="F26" s="8" t="s">
        <v>24</v>
      </c>
    </row>
    <row r="29" spans="2:12" ht="15" thickBot="1" x14ac:dyDescent="0.35">
      <c r="B29" s="18" t="s">
        <v>26</v>
      </c>
      <c r="C29" s="19"/>
      <c r="D29" s="19"/>
    </row>
    <row r="30" spans="2:12" x14ac:dyDescent="0.3">
      <c r="B30" s="27" t="s">
        <v>1</v>
      </c>
      <c r="C30" s="28" t="s">
        <v>34</v>
      </c>
      <c r="D30" s="28" t="s">
        <v>35</v>
      </c>
      <c r="E30" s="28" t="s">
        <v>36</v>
      </c>
      <c r="F30" s="28" t="s">
        <v>37</v>
      </c>
      <c r="G30" s="28" t="s">
        <v>38</v>
      </c>
      <c r="H30" s="28" t="s">
        <v>39</v>
      </c>
      <c r="I30" s="28" t="s">
        <v>40</v>
      </c>
      <c r="J30" s="28" t="s">
        <v>41</v>
      </c>
      <c r="K30" s="29" t="s">
        <v>42</v>
      </c>
      <c r="L30" s="32" t="s">
        <v>44</v>
      </c>
    </row>
    <row r="31" spans="2:12" x14ac:dyDescent="0.3">
      <c r="B31" s="21" t="s">
        <v>33</v>
      </c>
      <c r="C31" s="25">
        <v>2449.6142100000002</v>
      </c>
      <c r="D31" s="25">
        <v>2330</v>
      </c>
      <c r="E31" s="25">
        <v>2389.8071049999999</v>
      </c>
      <c r="F31" s="25">
        <v>453713.54395000002</v>
      </c>
      <c r="G31" s="25">
        <v>190.49576999999999</v>
      </c>
      <c r="H31" s="25">
        <v>2430.0666799999999</v>
      </c>
      <c r="I31" s="25">
        <v>2447.9999899999998</v>
      </c>
      <c r="J31" s="25">
        <v>2430.1</v>
      </c>
      <c r="K31" s="30">
        <v>1497027712</v>
      </c>
      <c r="L31" s="33">
        <f>UnixTimeToDate(K31)</f>
        <v>42895.709629629629</v>
      </c>
    </row>
    <row r="32" spans="2:12" ht="15" thickBot="1" x14ac:dyDescent="0.35">
      <c r="B32" s="6" t="s">
        <v>43</v>
      </c>
      <c r="C32" s="26">
        <v>239</v>
      </c>
      <c r="D32" s="26">
        <v>217.56179</v>
      </c>
      <c r="E32" s="26">
        <v>228.28089499999999</v>
      </c>
      <c r="F32" s="26">
        <v>96744.346619999997</v>
      </c>
      <c r="G32" s="26">
        <v>427.27568000000002</v>
      </c>
      <c r="H32" s="26">
        <v>237.83841000000001</v>
      </c>
      <c r="I32" s="26">
        <v>237.54508000000001</v>
      </c>
      <c r="J32" s="26">
        <v>235.65606</v>
      </c>
      <c r="K32" s="31">
        <v>1497027712</v>
      </c>
      <c r="L32" s="34">
        <f>UnixTimeToDate(K32)</f>
        <v>42895.709629629629</v>
      </c>
    </row>
    <row r="35" spans="2:11" x14ac:dyDescent="0.3">
      <c r="B35" s="18" t="s">
        <v>52</v>
      </c>
      <c r="C35" s="18"/>
      <c r="D35" s="18"/>
    </row>
    <row r="36" spans="2:11" x14ac:dyDescent="0.3">
      <c r="B36" t="s">
        <v>1</v>
      </c>
      <c r="C36" t="s">
        <v>6</v>
      </c>
      <c r="D36" t="s">
        <v>46</v>
      </c>
      <c r="E36" t="s">
        <v>10</v>
      </c>
      <c r="F36" t="s">
        <v>13</v>
      </c>
      <c r="G36" t="s">
        <v>47</v>
      </c>
      <c r="H36" t="s">
        <v>48</v>
      </c>
      <c r="I36" t="s">
        <v>49</v>
      </c>
      <c r="J36" t="s">
        <v>50</v>
      </c>
      <c r="K36" t="s">
        <v>51</v>
      </c>
    </row>
    <row r="37" spans="2:11" x14ac:dyDescent="0.3">
      <c r="B37" t="s">
        <v>45</v>
      </c>
      <c r="C37">
        <v>101929500</v>
      </c>
      <c r="D37" t="s">
        <v>33</v>
      </c>
      <c r="E37" t="s">
        <v>41</v>
      </c>
      <c r="F37" s="24">
        <v>7.0000000000000007E-2</v>
      </c>
      <c r="G37" s="24">
        <v>1509.03</v>
      </c>
      <c r="H37">
        <v>1766540000</v>
      </c>
      <c r="I37">
        <v>1</v>
      </c>
      <c r="J37">
        <v>1494653192</v>
      </c>
      <c r="K37" s="20">
        <f>UnixTimeToDate(Tbl_BTCe_Trades[[#This Row],[timestamp]])</f>
        <v>42868.226759259262</v>
      </c>
    </row>
    <row r="38" spans="2:11" x14ac:dyDescent="0.3">
      <c r="B38" t="s">
        <v>45</v>
      </c>
      <c r="C38">
        <v>101929500</v>
      </c>
      <c r="D38" t="s">
        <v>33</v>
      </c>
      <c r="E38" t="s">
        <v>41</v>
      </c>
      <c r="F38" s="24">
        <v>0.06</v>
      </c>
      <c r="G38" s="24">
        <v>1509.03</v>
      </c>
      <c r="H38">
        <v>1766540000</v>
      </c>
      <c r="I38">
        <v>1</v>
      </c>
      <c r="J38">
        <v>1494653191</v>
      </c>
      <c r="K38" s="20">
        <f>UnixTimeToDate(Tbl_BTCe_Trades[[#This Row],[timestamp]])</f>
        <v>42868.226747685185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</vt:i4>
      </vt:variant>
    </vt:vector>
  </HeadingPairs>
  <TitlesOfParts>
    <vt:vector size="9" baseType="lpstr">
      <vt:lpstr>KRAKEN</vt:lpstr>
      <vt:lpstr>Bittrex</vt:lpstr>
      <vt:lpstr>BTCe</vt:lpstr>
      <vt:lpstr>apikey_bittrex</vt:lpstr>
      <vt:lpstr>apikey_btce</vt:lpstr>
      <vt:lpstr>apikey_kraken</vt:lpstr>
      <vt:lpstr>secretkey_bittrex</vt:lpstr>
      <vt:lpstr>secretkey_btce</vt:lpstr>
      <vt:lpstr>secretkey_kraken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crypto_vba</dc:title>
  <dc:subject>crypto_vba</dc:subject>
  <dc:creator>Castoro;Koen Rijnsent</dc:creator>
  <cp:lastModifiedBy>Castoro</cp:lastModifiedBy>
  <dcterms:created xsi:type="dcterms:W3CDTF">2017-05-23T15:57:57Z</dcterms:created>
  <dcterms:modified xsi:type="dcterms:W3CDTF">2017-09-07T09:43:30Z</dcterms:modified>
</cp:coreProperties>
</file>