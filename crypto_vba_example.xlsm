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xr2:uid="{00000000-000D-0000-FFFF-FFFF00000000}"/>
  </bookViews>
  <sheets>
    <sheet name="FORMULAS" sheetId="9" r:id="rId1"/>
    <sheet name="KRAKEN" sheetId="1" r:id="rId2"/>
    <sheet name="Bittrex" sheetId="3" r:id="rId3"/>
    <sheet name="Binance" sheetId="8" r:id="rId4"/>
    <sheet name="Poloniex" sheetId="4" r:id="rId5"/>
    <sheet name="WEXnz" sheetId="2" r:id="rId6"/>
    <sheet name="Kucoin" sheetId="10" r:id="rId7"/>
    <sheet name="Cryptopia" sheetId="7" r:id="rId8"/>
    <sheet name="Liqui" sheetId="5" r:id="rId9"/>
    <sheet name="Coinone" sheetId="6" r:id="rId10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D59" i="9" a="1"/>
  <c r="D29" i="9"/>
  <c r="L31" i="2"/>
  <c r="D30" i="9"/>
  <c r="L32" i="2"/>
  <c r="D72" i="9" a="1"/>
  <c r="D42" i="9"/>
  <c r="D41" i="9"/>
  <c r="K38" i="2"/>
  <c r="D17" i="9"/>
  <c r="D16" i="9"/>
  <c r="L31" i="5"/>
  <c r="L32" i="5"/>
  <c r="D18" i="9"/>
  <c r="K37" i="2"/>
  <c r="D60" i="9" l="1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  <c r="J73" i="9"/>
  <c r="J75" i="9"/>
  <c r="J77" i="9"/>
  <c r="J79" i="9"/>
  <c r="J81" i="9"/>
  <c r="J83" i="9"/>
  <c r="J85" i="9"/>
  <c r="J87" i="9"/>
  <c r="J89" i="9"/>
  <c r="J91" i="9"/>
  <c r="J93" i="9"/>
  <c r="J95" i="9"/>
  <c r="J97" i="9"/>
  <c r="J99" i="9"/>
  <c r="J101" i="9"/>
  <c r="J103" i="9"/>
  <c r="J105" i="9"/>
  <c r="J107" i="9"/>
  <c r="J109" i="9"/>
  <c r="J111" i="9"/>
  <c r="J113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D101" i="9"/>
  <c r="D103" i="9"/>
  <c r="D105" i="9"/>
  <c r="D107" i="9"/>
  <c r="D109" i="9"/>
  <c r="D111" i="9"/>
  <c r="D113" i="9"/>
  <c r="I72" i="9"/>
  <c r="I74" i="9"/>
  <c r="I76" i="9"/>
  <c r="I78" i="9"/>
  <c r="I80" i="9"/>
  <c r="I82" i="9"/>
  <c r="I84" i="9"/>
  <c r="I86" i="9"/>
  <c r="I88" i="9"/>
  <c r="I90" i="9"/>
  <c r="I92" i="9"/>
  <c r="I94" i="9"/>
  <c r="I96" i="9"/>
  <c r="I98" i="9"/>
  <c r="I100" i="9"/>
  <c r="I102" i="9"/>
  <c r="I104" i="9"/>
  <c r="I106" i="9"/>
  <c r="I108" i="9"/>
  <c r="I110" i="9"/>
  <c r="I112" i="9"/>
  <c r="K72" i="9"/>
  <c r="K80" i="9"/>
  <c r="K88" i="9"/>
  <c r="K96" i="9"/>
  <c r="K104" i="9"/>
  <c r="K112" i="9"/>
  <c r="D116" i="9"/>
  <c r="D118" i="9"/>
  <c r="D120" i="9"/>
  <c r="J115" i="9"/>
  <c r="J119" i="9"/>
  <c r="G78" i="9"/>
  <c r="G94" i="9"/>
  <c r="F72" i="9"/>
  <c r="F74" i="9"/>
  <c r="F76" i="9"/>
  <c r="F78" i="9"/>
  <c r="F80" i="9"/>
  <c r="F82" i="9"/>
  <c r="F84" i="9"/>
  <c r="F86" i="9"/>
  <c r="F88" i="9"/>
  <c r="F90" i="9"/>
  <c r="F92" i="9"/>
  <c r="F94" i="9"/>
  <c r="F96" i="9"/>
  <c r="F98" i="9"/>
  <c r="F100" i="9"/>
  <c r="F102" i="9"/>
  <c r="F104" i="9"/>
  <c r="F106" i="9"/>
  <c r="F108" i="9"/>
  <c r="F110" i="9"/>
  <c r="F112" i="9"/>
  <c r="F114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H101" i="9"/>
  <c r="H103" i="9"/>
  <c r="H105" i="9"/>
  <c r="H107" i="9"/>
  <c r="H109" i="9"/>
  <c r="H111" i="9"/>
  <c r="H113" i="9"/>
  <c r="E73" i="9"/>
  <c r="E75" i="9"/>
  <c r="E77" i="9"/>
  <c r="E79" i="9"/>
  <c r="E81" i="9"/>
  <c r="E83" i="9"/>
  <c r="E85" i="9"/>
  <c r="E87" i="9"/>
  <c r="E89" i="9"/>
  <c r="E91" i="9"/>
  <c r="E93" i="9"/>
  <c r="E95" i="9"/>
  <c r="E97" i="9"/>
  <c r="E99" i="9"/>
  <c r="E101" i="9"/>
  <c r="E103" i="9"/>
  <c r="E105" i="9"/>
  <c r="E107" i="9"/>
  <c r="E109" i="9"/>
  <c r="E111" i="9"/>
  <c r="E113" i="9"/>
  <c r="K74" i="9"/>
  <c r="K82" i="9"/>
  <c r="K90" i="9"/>
  <c r="K98" i="9"/>
  <c r="K106" i="9"/>
  <c r="H114" i="9"/>
  <c r="H116" i="9"/>
  <c r="H118" i="9"/>
  <c r="H120" i="9"/>
  <c r="J116" i="9"/>
  <c r="J120" i="9"/>
  <c r="G82" i="9"/>
  <c r="G98" i="9"/>
  <c r="J72" i="9"/>
  <c r="J74" i="9"/>
  <c r="J76" i="9"/>
  <c r="J78" i="9"/>
  <c r="J80" i="9"/>
  <c r="J82" i="9"/>
  <c r="J84" i="9"/>
  <c r="J86" i="9"/>
  <c r="J88" i="9"/>
  <c r="J90" i="9"/>
  <c r="J92" i="9"/>
  <c r="J94" i="9"/>
  <c r="J96" i="9"/>
  <c r="J98" i="9"/>
  <c r="J100" i="9"/>
  <c r="J102" i="9"/>
  <c r="J104" i="9"/>
  <c r="J106" i="9"/>
  <c r="J108" i="9"/>
  <c r="J110" i="9"/>
  <c r="J112" i="9"/>
  <c r="D72" i="9"/>
  <c r="D74" i="9"/>
  <c r="D76" i="9"/>
  <c r="D78" i="9"/>
  <c r="D80" i="9"/>
  <c r="D82" i="9"/>
  <c r="D84" i="9"/>
  <c r="D86" i="9"/>
  <c r="D88" i="9"/>
  <c r="D90" i="9"/>
  <c r="D92" i="9"/>
  <c r="D94" i="9"/>
  <c r="D96" i="9"/>
  <c r="D98" i="9"/>
  <c r="D100" i="9"/>
  <c r="D102" i="9"/>
  <c r="D104" i="9"/>
  <c r="D106" i="9"/>
  <c r="D108" i="9"/>
  <c r="D110" i="9"/>
  <c r="D112" i="9"/>
  <c r="D114" i="9"/>
  <c r="I73" i="9"/>
  <c r="I75" i="9"/>
  <c r="I77" i="9"/>
  <c r="I79" i="9"/>
  <c r="I81" i="9"/>
  <c r="I83" i="9"/>
  <c r="I85" i="9"/>
  <c r="I87" i="9"/>
  <c r="I89" i="9"/>
  <c r="I91" i="9"/>
  <c r="I93" i="9"/>
  <c r="I95" i="9"/>
  <c r="I97" i="9"/>
  <c r="I99" i="9"/>
  <c r="I101" i="9"/>
  <c r="I103" i="9"/>
  <c r="I105" i="9"/>
  <c r="I107" i="9"/>
  <c r="I109" i="9"/>
  <c r="I111" i="9"/>
  <c r="I113" i="9"/>
  <c r="K76" i="9"/>
  <c r="K84" i="9"/>
  <c r="K92" i="9"/>
  <c r="K100" i="9"/>
  <c r="K108" i="9"/>
  <c r="D115" i="9"/>
  <c r="D117" i="9"/>
  <c r="D119" i="9"/>
  <c r="K103" i="9"/>
  <c r="J117" i="9"/>
  <c r="G72" i="9"/>
  <c r="G86" i="9"/>
  <c r="G102" i="9"/>
  <c r="F73" i="9"/>
  <c r="F81" i="9"/>
  <c r="F89" i="9"/>
  <c r="F97" i="9"/>
  <c r="F105" i="9"/>
  <c r="F113" i="9"/>
  <c r="H78" i="9"/>
  <c r="H86" i="9"/>
  <c r="H94" i="9"/>
  <c r="H102" i="9"/>
  <c r="H110" i="9"/>
  <c r="E76" i="9"/>
  <c r="E84" i="9"/>
  <c r="E92" i="9"/>
  <c r="E100" i="9"/>
  <c r="E108" i="9"/>
  <c r="K78" i="9"/>
  <c r="K110" i="9"/>
  <c r="K113" i="9"/>
  <c r="G106" i="9"/>
  <c r="G116" i="9"/>
  <c r="G120" i="9"/>
  <c r="G79" i="9"/>
  <c r="G87" i="9"/>
  <c r="G95" i="9"/>
  <c r="G103" i="9"/>
  <c r="G111" i="9"/>
  <c r="I115" i="9"/>
  <c r="I117" i="9"/>
  <c r="I119" i="9"/>
  <c r="K75" i="9"/>
  <c r="K83" i="9"/>
  <c r="K91" i="9"/>
  <c r="K99" i="9"/>
  <c r="K109" i="9"/>
  <c r="F116" i="9"/>
  <c r="F120" i="9"/>
  <c r="G88" i="9"/>
  <c r="G104" i="9"/>
  <c r="K115" i="9"/>
  <c r="K119" i="9"/>
  <c r="F75" i="9"/>
  <c r="F83" i="9"/>
  <c r="F91" i="9"/>
  <c r="F99" i="9"/>
  <c r="F107" i="9"/>
  <c r="H72" i="9"/>
  <c r="H80" i="9"/>
  <c r="H88" i="9"/>
  <c r="H96" i="9"/>
  <c r="H104" i="9"/>
  <c r="H112" i="9"/>
  <c r="E78" i="9"/>
  <c r="E86" i="9"/>
  <c r="E94" i="9"/>
  <c r="E102" i="9"/>
  <c r="E110" i="9"/>
  <c r="K86" i="9"/>
  <c r="H115" i="9"/>
  <c r="J118" i="9"/>
  <c r="G110" i="9"/>
  <c r="G117" i="9"/>
  <c r="G73" i="9"/>
  <c r="G81" i="9"/>
  <c r="G89" i="9"/>
  <c r="G97" i="9"/>
  <c r="G105" i="9"/>
  <c r="G113" i="9"/>
  <c r="E116" i="9"/>
  <c r="E118" i="9"/>
  <c r="E120" i="9"/>
  <c r="K77" i="9"/>
  <c r="K85" i="9"/>
  <c r="K93" i="9"/>
  <c r="K101" i="9"/>
  <c r="K111" i="9"/>
  <c r="F117" i="9"/>
  <c r="G74" i="9"/>
  <c r="G92" i="9"/>
  <c r="G108" i="9"/>
  <c r="K116" i="9"/>
  <c r="K120" i="9"/>
  <c r="F79" i="9"/>
  <c r="F87" i="9"/>
  <c r="F95" i="9"/>
  <c r="F103" i="9"/>
  <c r="F111" i="9"/>
  <c r="H76" i="9"/>
  <c r="H84" i="9"/>
  <c r="H92" i="9"/>
  <c r="H100" i="9"/>
  <c r="H108" i="9"/>
  <c r="E74" i="9"/>
  <c r="E82" i="9"/>
  <c r="E90" i="9"/>
  <c r="E98" i="9"/>
  <c r="E106" i="9"/>
  <c r="E114" i="9"/>
  <c r="K102" i="9"/>
  <c r="H119" i="9"/>
  <c r="G90" i="9"/>
  <c r="G115" i="9"/>
  <c r="G119" i="9"/>
  <c r="G77" i="9"/>
  <c r="G85" i="9"/>
  <c r="G93" i="9"/>
  <c r="G101" i="9"/>
  <c r="G109" i="9"/>
  <c r="E115" i="9"/>
  <c r="E117" i="9"/>
  <c r="E119" i="9"/>
  <c r="K73" i="9"/>
  <c r="K81" i="9"/>
  <c r="K89" i="9"/>
  <c r="K97" i="9"/>
  <c r="K107" i="9"/>
  <c r="F115" i="9"/>
  <c r="F119" i="9"/>
  <c r="G84" i="9"/>
  <c r="G100" i="9"/>
  <c r="K114" i="9"/>
  <c r="F77" i="9"/>
  <c r="F85" i="9"/>
  <c r="F93" i="9"/>
  <c r="F101" i="9"/>
  <c r="F109" i="9"/>
  <c r="H74" i="9"/>
  <c r="H82" i="9"/>
  <c r="H90" i="9"/>
  <c r="H98" i="9"/>
  <c r="H106" i="9"/>
  <c r="E72" i="9"/>
  <c r="E80" i="9"/>
  <c r="E88" i="9"/>
  <c r="E96" i="9"/>
  <c r="E104" i="9"/>
  <c r="E112" i="9"/>
  <c r="K94" i="9"/>
  <c r="H117" i="9"/>
  <c r="G76" i="9"/>
  <c r="G114" i="9"/>
  <c r="G118" i="9"/>
  <c r="G75" i="9"/>
  <c r="G83" i="9"/>
  <c r="G91" i="9"/>
  <c r="G99" i="9"/>
  <c r="G107" i="9"/>
  <c r="I114" i="9"/>
  <c r="I116" i="9"/>
  <c r="I118" i="9"/>
  <c r="I120" i="9"/>
  <c r="K79" i="9"/>
  <c r="K87" i="9"/>
  <c r="K95" i="9"/>
  <c r="K105" i="9"/>
  <c r="J114" i="9"/>
  <c r="F118" i="9"/>
  <c r="G80" i="9"/>
  <c r="G96" i="9"/>
  <c r="G112" i="9"/>
  <c r="K117" i="9"/>
  <c r="K118" i="9"/>
</calcChain>
</file>

<file path=xl/sharedStrings.xml><?xml version="1.0" encoding="utf-8"?>
<sst xmlns="http://schemas.openxmlformats.org/spreadsheetml/2006/main" count="709" uniqueCount="283">
  <si>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</si>
  <si>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</si>
  <si>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</si>
  <si>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</si>
  <si>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</si>
  <si>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</si>
  <si>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</si>
  <si>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</si>
  <si>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</si>
  <si>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</si>
  <si>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</si>
  <si>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</si>
  <si>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</si>
  <si>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</si>
  <si>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</si>
  <si>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</si>
  <si>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</si>
  <si>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</si>
  <si>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</si>
  <si>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</si>
  <si>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</si>
  <si>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</si>
  <si>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</si>
  <si>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</si>
  <si>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</si>
  <si>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</si>
  <si>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</si>
  <si>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</si>
  <si>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</si>
  <si>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</si>
  <si>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</si>
  <si>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</si>
  <si>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</si>
  <si>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</si>
  <si>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</si>
  <si>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</si>
  <si>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</si>
  <si>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</si>
  <si>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</si>
  <si>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</si>
  <si>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</si>
  <si>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</si>
  <si>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</si>
  <si>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</si>
  <si>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</si>
  <si>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</si>
  <si>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</si>
  <si>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</si>
  <si>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</si>
  <si>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</si>
  <si>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</si>
  <si>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</si>
  <si>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</si>
  <si>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</si>
  <si>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</si>
  <si>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</si>
  <si>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</si>
  <si>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</si>
  <si>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</si>
  <si>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</si>
  <si>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</si>
  <si>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</si>
  <si>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</si>
  <si>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</si>
  <si>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</si>
  <si>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</si>
  <si>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</si>
  <si>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</si>
  <si>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</si>
  <si>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</si>
  <si>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</si>
  <si>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</si>
  <si>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</si>
  <si>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</si>
  <si>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</si>
  <si>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</si>
  <si>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</si>
  <si>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</si>
  <si>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</si>
  <si>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</si>
  <si>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</si>
  <si>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</si>
  <si>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</si>
  <si>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</si>
  <si>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</si>
  <si>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</si>
  <si>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</si>
  <si>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</si>
  <si>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</si>
  <si>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</si>
  <si>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</si>
  <si>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</si>
  <si>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</si>
  <si>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</si>
  <si>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</si>
  <si>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</si>
  <si>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</si>
  <si>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</si>
  <si>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</si>
  <si>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</si>
  <si>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</si>
  <si>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</si>
  <si>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</si>
  <si>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</si>
  <si>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</si>
  <si>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</si>
  <si>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</si>
  <si>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</si>
  <si>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</si>
  <si>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</si>
  <si>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</si>
  <si>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</si>
  <si>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</si>
  <si>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</si>
  <si>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</si>
  <si>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</si>
  <si>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</si>
  <si>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</si>
  <si>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</si>
  <si>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</si>
  <si>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</si>
  <si>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</si>
  <si>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</si>
  <si>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</si>
  <si>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</si>
  <si>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</si>
  <si>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</si>
  <si>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</si>
  <si>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</si>
  <si>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</si>
  <si>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</si>
  <si>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</si>
  <si>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</si>
  <si>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</si>
  <si>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</si>
  <si>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</si>
  <si>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</si>
  <si>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</si>
  <si>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</si>
  <si>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</si>
  <si>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</si>
  <si>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</si>
  <si>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</si>
  <si>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</si>
  <si>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</si>
  <si>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</si>
  <si>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</si>
  <si>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</si>
  <si>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</si>
  <si>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</si>
  <si>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</si>
  <si>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</si>
  <si>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</si>
  <si>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</si>
  <si>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</si>
  <si>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</si>
  <si>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</si>
  <si>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</si>
  <si>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</si>
  <si>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</si>
  <si>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</si>
  <si>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</si>
  <si>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</si>
  <si>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</si>
  <si>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</si>
  <si>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</si>
  <si>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</si>
  <si>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</si>
  <si>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</si>
  <si>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</si>
  <si>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</si>
  <si>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</si>
  <si>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</si>
  <si>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</si>
  <si>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</si>
  <si>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</si>
  <si>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</si>
  <si>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</si>
  <si>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</si>
  <si>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</si>
  <si>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</si>
  <si>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</si>
  <si>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</si>
  <si>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</si>
  <si>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</si>
  <si>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</si>
  <si>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</si>
  <si>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</si>
  <si>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</si>
  <si>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</si>
  <si>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</si>
  <si>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</si>
  <si>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</si>
  <si>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</si>
  <si>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</si>
  <si>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</si>
  <si>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</si>
  <si>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</si>
  <si>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</si>
  <si>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</si>
  <si>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</si>
  <si>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</si>
  <si>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</si>
  <si>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</si>
  <si>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</si>
  <si>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</si>
  <si>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</si>
  <si>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</si>
  <si>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</si>
  <si>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</si>
  <si>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</si>
  <si>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</si>
  <si>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</si>
  <si>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</si>
  <si>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</si>
  <si>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</si>
  <si>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</si>
  <si>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</si>
  <si>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</si>
  <si>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</si>
  <si>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</si>
  <si>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</si>
  <si>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</si>
  <si>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</si>
  <si>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</si>
  <si>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</si>
  <si>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</si>
  <si>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</si>
  <si>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</si>
  <si>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</si>
  <si>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</si>
  <si>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</si>
  <si>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</si>
  <si>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</si>
  <si>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</si>
  <si>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</si>
  <si>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</si>
  <si>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</si>
  <si>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</si>
  <si>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</si>
  <si>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</si>
  <si>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</si>
  <si>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</si>
  <si>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</si>
  <si>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</si>
  <si>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DayHour </t>
    </r>
    <r>
      <rPr>
        <sz val="11"/>
        <color theme="1"/>
        <rFont val="Calibri"/>
        <family val="2"/>
        <scheme val="minor"/>
      </rPr>
      <t>- D for daily or H for hourly</t>
    </r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</si>
  <si>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</si>
  <si>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</si>
  <si>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</si>
  <si>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</si>
  <si>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</si>
  <si>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</si>
  <si>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</si>
  <si>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Kraken, last 48 hours of 2017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</si>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</sst>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39" totalsRowShown="0">
  <autoFilter ref="B38:I39" xr:uid="{499FC7EF-4481-441A-B448-E8ECA033E522}"/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B3" sqref="B3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282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885.58</v>
      </c>
    </row>
    <row r="17" spans="2:10" x14ac:dyDescent="0.3">
      <c r="C17" s="1" t="s">
        <v>234</v>
      </c>
      <c r="D17" s="51">
        <f ca="1">C_LAST_PRICE("XLM","BTC","Kraken")</f>
        <v>4.9499999999999997E-5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250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245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246</v>
      </c>
    </row>
    <row r="53" spans="3:6" x14ac:dyDescent="0.3">
      <c r="C53" s="49" t="s">
        <v>247</v>
      </c>
    </row>
    <row r="54" spans="3:6" x14ac:dyDescent="0.3">
      <c r="C54" s="1" t="s">
        <v>248</v>
      </c>
    </row>
    <row r="55" spans="3:6" x14ac:dyDescent="0.3">
      <c r="C55" s="1" t="s">
        <v>249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251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43122</v>
      </c>
      <c r="E60" s="54">
        <f ca="1"/>
        <v>9.2299999999999993E-2</v>
      </c>
      <c r="F60" s="54">
        <f ca="1"/>
        <v>53449.75</v>
      </c>
    </row>
    <row r="61" spans="3:6" x14ac:dyDescent="0.3">
      <c r="D61" s="53">
        <f ca="1"/>
        <v>43123</v>
      </c>
      <c r="E61" s="54">
        <f ca="1"/>
        <v>9.0880000000000002E-2</v>
      </c>
      <c r="F61" s="54">
        <f ca="1"/>
        <v>51319.38</v>
      </c>
    </row>
    <row r="62" spans="3:6" x14ac:dyDescent="0.3">
      <c r="D62" s="53">
        <f ca="1"/>
        <v>43124</v>
      </c>
      <c r="E62" s="54">
        <f ca="1"/>
        <v>9.3350000000000002E-2</v>
      </c>
      <c r="F62" s="54">
        <f ca="1"/>
        <v>53045.31</v>
      </c>
    </row>
    <row r="63" spans="3:6" x14ac:dyDescent="0.3">
      <c r="D63" s="53">
        <f ca="1"/>
        <v>43125</v>
      </c>
      <c r="E63" s="54">
        <f ca="1"/>
        <v>9.4189999999999996E-2</v>
      </c>
      <c r="F63" s="54">
        <f ca="1"/>
        <v>44931.33</v>
      </c>
    </row>
    <row r="64" spans="3:6" x14ac:dyDescent="0.3">
      <c r="D64" s="53">
        <f ca="1"/>
        <v>43126</v>
      </c>
      <c r="E64" s="54">
        <f ca="1"/>
        <v>9.4700000000000006E-2</v>
      </c>
      <c r="F64" s="54">
        <f ca="1"/>
        <v>52197.87</v>
      </c>
    </row>
    <row r="65" spans="3:11" x14ac:dyDescent="0.3">
      <c r="D65" s="53">
        <f ca="1"/>
        <v>43127</v>
      </c>
      <c r="E65" s="54">
        <f ca="1"/>
        <v>9.7309999999999994E-2</v>
      </c>
      <c r="F65" s="54">
        <f ca="1"/>
        <v>42655.47</v>
      </c>
    </row>
    <row r="66" spans="3:11" x14ac:dyDescent="0.3">
      <c r="D66" s="53">
        <f ca="1"/>
        <v>43128</v>
      </c>
      <c r="E66" s="54">
        <f ca="1"/>
        <v>0.1052</v>
      </c>
      <c r="F66" s="54">
        <f ca="1"/>
        <v>62434.05</v>
      </c>
    </row>
    <row r="67" spans="3:11" x14ac:dyDescent="0.3">
      <c r="D67" s="53">
        <f ca="1"/>
        <v>43129</v>
      </c>
      <c r="E67" s="54">
        <f ca="1"/>
        <v>0.1045</v>
      </c>
      <c r="F67" s="54">
        <f ca="1"/>
        <v>50183.16</v>
      </c>
    </row>
    <row r="68" spans="3:11" x14ac:dyDescent="0.3">
      <c r="D68" s="53">
        <f ca="1"/>
        <v>43130</v>
      </c>
      <c r="E68" s="54">
        <f ca="1"/>
        <v>0.10589999999999999</v>
      </c>
      <c r="F68" s="54">
        <f ca="1"/>
        <v>58211.93</v>
      </c>
    </row>
    <row r="69" spans="3:11" x14ac:dyDescent="0.3">
      <c r="D69" s="53">
        <f ca="1"/>
        <v>43131</v>
      </c>
      <c r="E69" s="54">
        <f ca="1"/>
        <v>0.1094</v>
      </c>
      <c r="F69" s="54">
        <f ca="1"/>
        <v>54521.15</v>
      </c>
    </row>
    <row r="72" spans="3:11" x14ac:dyDescent="0.3">
      <c r="C72" s="1" t="s">
        <v>252</v>
      </c>
      <c r="D72" s="52" t="str">
        <f t="array" aca="1" ref="D72:K120" ca="1">C_ARR_OHLCV("H","XLM","BTC","TEOHLCFV",48,DATE(2018,1,1),"Kraken")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253</v>
      </c>
      <c r="D73" s="50">
        <f ca="1"/>
        <v>1514592000</v>
      </c>
      <c r="E73" s="55">
        <f ca="1"/>
        <v>43099</v>
      </c>
      <c r="F73" s="51">
        <f ca="1"/>
        <v>2.2529999999999999E-5</v>
      </c>
      <c r="G73" s="51">
        <f ca="1"/>
        <v>2.4600000000000002E-5</v>
      </c>
      <c r="H73" s="51">
        <f ca="1"/>
        <v>2.1889999999999999E-5</v>
      </c>
      <c r="I73" s="51">
        <f ca="1"/>
        <v>2.4600000000000002E-5</v>
      </c>
      <c r="J73" s="56">
        <f ca="1"/>
        <v>3479805.26</v>
      </c>
      <c r="K73" s="56">
        <f ca="1"/>
        <v>81.45</v>
      </c>
    </row>
    <row r="74" spans="3:11" x14ac:dyDescent="0.3">
      <c r="D74" s="50">
        <f ca="1"/>
        <v>1514595600</v>
      </c>
      <c r="E74" s="55">
        <f ca="1"/>
        <v>43099.041666666664</v>
      </c>
      <c r="F74" s="51">
        <f ca="1"/>
        <v>2.4600000000000002E-5</v>
      </c>
      <c r="G74" s="51">
        <f ca="1"/>
        <v>2.5999999999999998E-5</v>
      </c>
      <c r="H74" s="51">
        <f ca="1"/>
        <v>2.4000000000000001E-5</v>
      </c>
      <c r="I74" s="51">
        <f ca="1"/>
        <v>2.597E-5</v>
      </c>
      <c r="J74" s="56">
        <f ca="1"/>
        <v>4517340.7699999996</v>
      </c>
      <c r="K74" s="56">
        <f ca="1"/>
        <v>112.61</v>
      </c>
    </row>
    <row r="75" spans="3:11" x14ac:dyDescent="0.3">
      <c r="D75" s="50">
        <f ca="1"/>
        <v>1514599200</v>
      </c>
      <c r="E75" s="55">
        <f ca="1"/>
        <v>43099.083333333336</v>
      </c>
      <c r="F75" s="51">
        <f ca="1"/>
        <v>2.597E-5</v>
      </c>
      <c r="G75" s="51">
        <f ca="1"/>
        <v>2.5999999999999998E-5</v>
      </c>
      <c r="H75" s="51">
        <f ca="1"/>
        <v>2.34E-5</v>
      </c>
      <c r="I75" s="51">
        <f ca="1"/>
        <v>2.3499999999999999E-5</v>
      </c>
      <c r="J75" s="56">
        <f ca="1"/>
        <v>4013646.78</v>
      </c>
      <c r="K75" s="56">
        <f ca="1"/>
        <v>97.72</v>
      </c>
    </row>
    <row r="76" spans="3:11" x14ac:dyDescent="0.3">
      <c r="D76" s="50">
        <f ca="1"/>
        <v>1514602800</v>
      </c>
      <c r="E76" s="55">
        <f ca="1"/>
        <v>43099.125</v>
      </c>
      <c r="F76" s="51">
        <f ca="1"/>
        <v>2.3499999999999999E-5</v>
      </c>
      <c r="G76" s="51">
        <f ca="1"/>
        <v>2.5449999999999999E-5</v>
      </c>
      <c r="H76" s="51">
        <f ca="1"/>
        <v>2.34E-5</v>
      </c>
      <c r="I76" s="51">
        <f ca="1"/>
        <v>2.4470000000000001E-5</v>
      </c>
      <c r="J76" s="56">
        <f ca="1"/>
        <v>3311200.65</v>
      </c>
      <c r="K76" s="56">
        <f ca="1"/>
        <v>78.83</v>
      </c>
    </row>
    <row r="77" spans="3:11" x14ac:dyDescent="0.3">
      <c r="D77" s="50">
        <f ca="1"/>
        <v>1514606400</v>
      </c>
      <c r="E77" s="55">
        <f ca="1"/>
        <v>43099.166666666664</v>
      </c>
      <c r="F77" s="51">
        <f ca="1"/>
        <v>2.4470000000000001E-5</v>
      </c>
      <c r="G77" s="51">
        <f ca="1"/>
        <v>2.5199999999999999E-5</v>
      </c>
      <c r="H77" s="51">
        <f ca="1"/>
        <v>2.2010000000000001E-5</v>
      </c>
      <c r="I77" s="51">
        <f ca="1"/>
        <v>2.3980000000000001E-5</v>
      </c>
      <c r="J77" s="56">
        <f ca="1"/>
        <v>3908446.75</v>
      </c>
      <c r="K77" s="56">
        <f ca="1"/>
        <v>93.47</v>
      </c>
    </row>
    <row r="78" spans="3:11" x14ac:dyDescent="0.3">
      <c r="D78" s="50">
        <f ca="1"/>
        <v>1514610000</v>
      </c>
      <c r="E78" s="55">
        <f ca="1"/>
        <v>43099.208333333336</v>
      </c>
      <c r="F78" s="51">
        <f ca="1"/>
        <v>2.3980000000000001E-5</v>
      </c>
      <c r="G78" s="51">
        <f ca="1"/>
        <v>2.3980000000000001E-5</v>
      </c>
      <c r="H78" s="51">
        <f ca="1"/>
        <v>2.1999999999999999E-5</v>
      </c>
      <c r="I78" s="51">
        <f ca="1"/>
        <v>2.3900000000000002E-5</v>
      </c>
      <c r="J78" s="56">
        <f ca="1"/>
        <v>1582895.21</v>
      </c>
      <c r="K78" s="56">
        <f ca="1"/>
        <v>36.81</v>
      </c>
    </row>
    <row r="79" spans="3:11" x14ac:dyDescent="0.3">
      <c r="D79" s="50">
        <f ca="1"/>
        <v>1514613600</v>
      </c>
      <c r="E79" s="55">
        <f ca="1"/>
        <v>43099.25</v>
      </c>
      <c r="F79" s="51">
        <f ca="1"/>
        <v>2.3900000000000002E-5</v>
      </c>
      <c r="G79" s="51">
        <f ca="1"/>
        <v>2.5789999999999999E-5</v>
      </c>
      <c r="H79" s="51">
        <f ca="1"/>
        <v>2.353E-5</v>
      </c>
      <c r="I79" s="51">
        <f ca="1"/>
        <v>2.5769999999999999E-5</v>
      </c>
      <c r="J79" s="56">
        <f ca="1"/>
        <v>2661008.8199999998</v>
      </c>
      <c r="K79" s="56">
        <f ca="1"/>
        <v>65.599999999999994</v>
      </c>
    </row>
    <row r="80" spans="3:11" x14ac:dyDescent="0.3">
      <c r="D80" s="50">
        <f ca="1"/>
        <v>1514617200</v>
      </c>
      <c r="E80" s="55">
        <f ca="1"/>
        <v>43099.291666666664</v>
      </c>
      <c r="F80" s="51">
        <f ca="1"/>
        <v>2.5769999999999999E-5</v>
      </c>
      <c r="G80" s="51">
        <f ca="1"/>
        <v>2.7209999999999999E-5</v>
      </c>
      <c r="H80" s="51">
        <f ca="1"/>
        <v>2.508E-5</v>
      </c>
      <c r="I80" s="51">
        <f ca="1"/>
        <v>2.6990000000000001E-5</v>
      </c>
      <c r="J80" s="56">
        <f ca="1"/>
        <v>4366520.17</v>
      </c>
      <c r="K80" s="56">
        <f ca="1"/>
        <v>114.57</v>
      </c>
    </row>
    <row r="81" spans="4:11" x14ac:dyDescent="0.3">
      <c r="D81" s="50">
        <f ca="1"/>
        <v>1514620800</v>
      </c>
      <c r="E81" s="55">
        <f ca="1"/>
        <v>43099.333333333336</v>
      </c>
      <c r="F81" s="51">
        <f ca="1"/>
        <v>2.6990000000000001E-5</v>
      </c>
      <c r="G81" s="51">
        <f ca="1"/>
        <v>2.7209999999999999E-5</v>
      </c>
      <c r="H81" s="51">
        <f ca="1"/>
        <v>2.5999999999999998E-5</v>
      </c>
      <c r="I81" s="51">
        <f ca="1"/>
        <v>2.6100000000000001E-5</v>
      </c>
      <c r="J81" s="56">
        <f ca="1"/>
        <v>2341912.54</v>
      </c>
      <c r="K81" s="56">
        <f ca="1"/>
        <v>62.7</v>
      </c>
    </row>
    <row r="82" spans="4:11" x14ac:dyDescent="0.3">
      <c r="D82" s="50">
        <f ca="1"/>
        <v>1514624400</v>
      </c>
      <c r="E82" s="55">
        <f ca="1"/>
        <v>43099.375</v>
      </c>
      <c r="F82" s="51">
        <f ca="1"/>
        <v>2.6100000000000001E-5</v>
      </c>
      <c r="G82" s="51">
        <f ca="1"/>
        <v>2.722E-5</v>
      </c>
      <c r="H82" s="51">
        <f ca="1"/>
        <v>2.5020000000000001E-5</v>
      </c>
      <c r="I82" s="51">
        <f ca="1"/>
        <v>2.722E-5</v>
      </c>
      <c r="J82" s="56">
        <f ca="1"/>
        <v>3861129.02</v>
      </c>
      <c r="K82" s="56">
        <f ca="1"/>
        <v>103.51</v>
      </c>
    </row>
    <row r="83" spans="4:11" x14ac:dyDescent="0.3">
      <c r="D83" s="50">
        <f ca="1"/>
        <v>1514628000</v>
      </c>
      <c r="E83" s="55">
        <f ca="1"/>
        <v>43099.416666666664</v>
      </c>
      <c r="F83" s="51">
        <f ca="1"/>
        <v>2.722E-5</v>
      </c>
      <c r="G83" s="51">
        <f ca="1"/>
        <v>2.8799999999999999E-5</v>
      </c>
      <c r="H83" s="51">
        <f ca="1"/>
        <v>2.404E-5</v>
      </c>
      <c r="I83" s="51">
        <f ca="1"/>
        <v>2.656E-5</v>
      </c>
      <c r="J83" s="56">
        <f ca="1"/>
        <v>9146118.25</v>
      </c>
      <c r="K83" s="56">
        <f ca="1"/>
        <v>244.63</v>
      </c>
    </row>
    <row r="84" spans="4:11" x14ac:dyDescent="0.3">
      <c r="D84" s="50">
        <f ca="1"/>
        <v>1514631600</v>
      </c>
      <c r="E84" s="55">
        <f ca="1"/>
        <v>43099.458333333336</v>
      </c>
      <c r="F84" s="51">
        <f ca="1"/>
        <v>2.656E-5</v>
      </c>
      <c r="G84" s="51">
        <f ca="1"/>
        <v>2.656E-5</v>
      </c>
      <c r="H84" s="51">
        <f ca="1"/>
        <v>2.5409999999999999E-5</v>
      </c>
      <c r="I84" s="51">
        <f ca="1"/>
        <v>2.5729999999999999E-5</v>
      </c>
      <c r="J84" s="56">
        <f ca="1"/>
        <v>1960728.52</v>
      </c>
      <c r="K84" s="56">
        <f ca="1"/>
        <v>50.73</v>
      </c>
    </row>
    <row r="85" spans="4:11" x14ac:dyDescent="0.3">
      <c r="D85" s="50">
        <f ca="1"/>
        <v>1514635200</v>
      </c>
      <c r="E85" s="55">
        <f ca="1"/>
        <v>43099.5</v>
      </c>
      <c r="F85" s="51">
        <f ca="1"/>
        <v>2.5729999999999999E-5</v>
      </c>
      <c r="G85" s="51">
        <f ca="1"/>
        <v>2.597E-5</v>
      </c>
      <c r="H85" s="51">
        <f ca="1"/>
        <v>2.4000000000000001E-5</v>
      </c>
      <c r="I85" s="51">
        <f ca="1"/>
        <v>2.427E-5</v>
      </c>
      <c r="J85" s="56">
        <f ca="1"/>
        <v>4145782.7</v>
      </c>
      <c r="K85" s="56">
        <f ca="1"/>
        <v>101.82</v>
      </c>
    </row>
    <row r="86" spans="4:11" x14ac:dyDescent="0.3">
      <c r="D86" s="50">
        <f ca="1"/>
        <v>1514638800</v>
      </c>
      <c r="E86" s="55">
        <f ca="1"/>
        <v>43099.541666666664</v>
      </c>
      <c r="F86" s="51">
        <f ca="1"/>
        <v>2.427E-5</v>
      </c>
      <c r="G86" s="51">
        <f ca="1"/>
        <v>2.48E-5</v>
      </c>
      <c r="H86" s="51">
        <f ca="1"/>
        <v>2.2010000000000001E-5</v>
      </c>
      <c r="I86" s="51">
        <f ca="1"/>
        <v>2.444E-5</v>
      </c>
      <c r="J86" s="56">
        <f ca="1"/>
        <v>3456671.39</v>
      </c>
      <c r="K86" s="56">
        <f ca="1"/>
        <v>80.349999999999994</v>
      </c>
    </row>
    <row r="87" spans="4:11" x14ac:dyDescent="0.3">
      <c r="D87" s="50">
        <f ca="1"/>
        <v>1514642400</v>
      </c>
      <c r="E87" s="55">
        <f ca="1"/>
        <v>43099.583333333336</v>
      </c>
      <c r="F87" s="51">
        <f ca="1"/>
        <v>2.444E-5</v>
      </c>
      <c r="G87" s="51">
        <f ca="1"/>
        <v>2.5619999999999999E-5</v>
      </c>
      <c r="H87" s="51">
        <f ca="1"/>
        <v>2.408E-5</v>
      </c>
      <c r="I87" s="51">
        <f ca="1"/>
        <v>2.4850000000000001E-5</v>
      </c>
      <c r="J87" s="56">
        <f ca="1"/>
        <v>2181913.4900000002</v>
      </c>
      <c r="K87" s="56">
        <f ca="1"/>
        <v>55.02</v>
      </c>
    </row>
    <row r="88" spans="4:11" x14ac:dyDescent="0.3">
      <c r="D88" s="50">
        <f ca="1"/>
        <v>1514646000</v>
      </c>
      <c r="E88" s="55">
        <f ca="1"/>
        <v>43099.625</v>
      </c>
      <c r="F88" s="51">
        <f ca="1"/>
        <v>2.4850000000000001E-5</v>
      </c>
      <c r="G88" s="51">
        <f ca="1"/>
        <v>2.6979999999999999E-5</v>
      </c>
      <c r="H88" s="51">
        <f ca="1"/>
        <v>2.4850000000000001E-5</v>
      </c>
      <c r="I88" s="51">
        <f ca="1"/>
        <v>2.633E-5</v>
      </c>
      <c r="J88" s="56">
        <f ca="1"/>
        <v>1119735.94</v>
      </c>
      <c r="K88" s="56">
        <f ca="1"/>
        <v>28.9</v>
      </c>
    </row>
    <row r="89" spans="4:11" x14ac:dyDescent="0.3">
      <c r="D89" s="50">
        <f ca="1"/>
        <v>1514649600</v>
      </c>
      <c r="E89" s="55">
        <f ca="1"/>
        <v>43099.666666666664</v>
      </c>
      <c r="F89" s="51">
        <f ca="1"/>
        <v>2.633E-5</v>
      </c>
      <c r="G89" s="51">
        <f ca="1"/>
        <v>2.6339999999999999E-5</v>
      </c>
      <c r="H89" s="51">
        <f ca="1"/>
        <v>2.438E-5</v>
      </c>
      <c r="I89" s="51">
        <f ca="1"/>
        <v>2.4499999999999999E-5</v>
      </c>
      <c r="J89" s="56">
        <f ca="1"/>
        <v>2573372.38</v>
      </c>
      <c r="K89" s="56">
        <f ca="1"/>
        <v>64.650000000000006</v>
      </c>
    </row>
    <row r="90" spans="4:11" x14ac:dyDescent="0.3">
      <c r="D90" s="50">
        <f ca="1"/>
        <v>1514653200</v>
      </c>
      <c r="E90" s="55">
        <f ca="1"/>
        <v>43099.708333333336</v>
      </c>
      <c r="F90" s="51">
        <f ca="1"/>
        <v>2.4499999999999999E-5</v>
      </c>
      <c r="G90" s="51">
        <f ca="1"/>
        <v>2.6780000000000001E-5</v>
      </c>
      <c r="H90" s="51">
        <f ca="1"/>
        <v>2.438E-5</v>
      </c>
      <c r="I90" s="51">
        <f ca="1"/>
        <v>2.5130000000000002E-5</v>
      </c>
      <c r="J90" s="56">
        <f ca="1"/>
        <v>1827139.01</v>
      </c>
      <c r="K90" s="56">
        <f ca="1"/>
        <v>46.66</v>
      </c>
    </row>
    <row r="91" spans="4:11" x14ac:dyDescent="0.3">
      <c r="D91" s="50">
        <f ca="1"/>
        <v>1514656800</v>
      </c>
      <c r="E91" s="55">
        <f ca="1"/>
        <v>43099.75</v>
      </c>
      <c r="F91" s="51">
        <f ca="1"/>
        <v>2.5130000000000002E-5</v>
      </c>
      <c r="G91" s="51">
        <f ca="1"/>
        <v>2.6299999999999999E-5</v>
      </c>
      <c r="H91" s="51">
        <f ca="1"/>
        <v>2.4009999999999999E-5</v>
      </c>
      <c r="I91" s="51">
        <f ca="1"/>
        <v>2.5449999999999999E-5</v>
      </c>
      <c r="J91" s="56">
        <f ca="1"/>
        <v>2589994.0499999998</v>
      </c>
      <c r="K91" s="56">
        <f ca="1"/>
        <v>64.44</v>
      </c>
    </row>
    <row r="92" spans="4:11" x14ac:dyDescent="0.3">
      <c r="D92" s="50">
        <f ca="1"/>
        <v>1514660400</v>
      </c>
      <c r="E92" s="55">
        <f ca="1"/>
        <v>43099.791666666664</v>
      </c>
      <c r="F92" s="51">
        <f ca="1"/>
        <v>2.5449999999999999E-5</v>
      </c>
      <c r="G92" s="51">
        <f ca="1"/>
        <v>2.5999999999999998E-5</v>
      </c>
      <c r="H92" s="51">
        <f ca="1"/>
        <v>2.4340000000000001E-5</v>
      </c>
      <c r="I92" s="51">
        <f ca="1"/>
        <v>2.5789999999999999E-5</v>
      </c>
      <c r="J92" s="56">
        <f ca="1"/>
        <v>1450800.13</v>
      </c>
      <c r="K92" s="56">
        <f ca="1"/>
        <v>36.9</v>
      </c>
    </row>
    <row r="93" spans="4:11" x14ac:dyDescent="0.3">
      <c r="D93" s="50">
        <f ca="1"/>
        <v>1514664000</v>
      </c>
      <c r="E93" s="55">
        <f ca="1"/>
        <v>43099.833333333336</v>
      </c>
      <c r="F93" s="51">
        <f ca="1"/>
        <v>2.5789999999999999E-5</v>
      </c>
      <c r="G93" s="51">
        <f ca="1"/>
        <v>2.83E-5</v>
      </c>
      <c r="H93" s="51">
        <f ca="1"/>
        <v>2.527E-5</v>
      </c>
      <c r="I93" s="51">
        <f ca="1"/>
        <v>2.83E-5</v>
      </c>
      <c r="J93" s="56">
        <f ca="1"/>
        <v>2992431.93</v>
      </c>
      <c r="K93" s="56">
        <f ca="1"/>
        <v>80.06</v>
      </c>
    </row>
    <row r="94" spans="4:11" x14ac:dyDescent="0.3">
      <c r="D94" s="50">
        <f ca="1"/>
        <v>1514667600</v>
      </c>
      <c r="E94" s="55">
        <f ca="1"/>
        <v>43099.875</v>
      </c>
      <c r="F94" s="51">
        <f ca="1"/>
        <v>2.83E-5</v>
      </c>
      <c r="G94" s="51">
        <f ca="1"/>
        <v>2.9300000000000001E-5</v>
      </c>
      <c r="H94" s="51">
        <f ca="1"/>
        <v>2.65E-5</v>
      </c>
      <c r="I94" s="51">
        <f ca="1"/>
        <v>2.6509999999999999E-5</v>
      </c>
      <c r="J94" s="56">
        <f ca="1"/>
        <v>3343549.9</v>
      </c>
      <c r="K94" s="56">
        <f ca="1"/>
        <v>95.51</v>
      </c>
    </row>
    <row r="95" spans="4:11" x14ac:dyDescent="0.3">
      <c r="D95" s="50">
        <f ca="1"/>
        <v>1514671200</v>
      </c>
      <c r="E95" s="55">
        <f ca="1"/>
        <v>43099.916666666664</v>
      </c>
      <c r="F95" s="51">
        <f ca="1"/>
        <v>2.6509999999999999E-5</v>
      </c>
      <c r="G95" s="51">
        <f ca="1"/>
        <v>2.7990000000000001E-5</v>
      </c>
      <c r="H95" s="51">
        <f ca="1"/>
        <v>2.4689999999999999E-5</v>
      </c>
      <c r="I95" s="51">
        <f ca="1"/>
        <v>2.4689999999999999E-5</v>
      </c>
      <c r="J95" s="56">
        <f ca="1"/>
        <v>2831252.83</v>
      </c>
      <c r="K95" s="56">
        <f ca="1"/>
        <v>73.87</v>
      </c>
    </row>
    <row r="96" spans="4:11" x14ac:dyDescent="0.3">
      <c r="D96" s="50">
        <f ca="1"/>
        <v>1514674800</v>
      </c>
      <c r="E96" s="55">
        <f ca="1"/>
        <v>43099.958333333336</v>
      </c>
      <c r="F96" s="51">
        <f ca="1"/>
        <v>2.4689999999999999E-5</v>
      </c>
      <c r="G96" s="51">
        <f ca="1"/>
        <v>2.6800000000000001E-5</v>
      </c>
      <c r="H96" s="51">
        <f ca="1"/>
        <v>2.4470000000000001E-5</v>
      </c>
      <c r="I96" s="51">
        <f ca="1"/>
        <v>2.5599999999999999E-5</v>
      </c>
      <c r="J96" s="56">
        <f ca="1"/>
        <v>1821089.84</v>
      </c>
      <c r="K96" s="56">
        <f ca="1"/>
        <v>46.69</v>
      </c>
    </row>
    <row r="97" spans="4:11" x14ac:dyDescent="0.3">
      <c r="D97" s="50">
        <f ca="1"/>
        <v>1514678400</v>
      </c>
      <c r="E97" s="55">
        <f ca="1"/>
        <v>43100</v>
      </c>
      <c r="F97" s="51">
        <f ca="1"/>
        <v>2.5599999999999999E-5</v>
      </c>
      <c r="G97" s="51">
        <f ca="1"/>
        <v>2.5769999999999999E-5</v>
      </c>
      <c r="H97" s="51">
        <f ca="1"/>
        <v>2.3110000000000001E-5</v>
      </c>
      <c r="I97" s="51">
        <f ca="1"/>
        <v>2.5769999999999999E-5</v>
      </c>
      <c r="J97" s="56">
        <f ca="1"/>
        <v>1870343.86</v>
      </c>
      <c r="K97" s="56">
        <f ca="1"/>
        <v>46.22</v>
      </c>
    </row>
    <row r="98" spans="4:11" x14ac:dyDescent="0.3">
      <c r="D98" s="50">
        <f ca="1"/>
        <v>1514682000</v>
      </c>
      <c r="E98" s="55">
        <f ca="1"/>
        <v>43100.041666666664</v>
      </c>
      <c r="F98" s="51">
        <f ca="1"/>
        <v>2.5769999999999999E-5</v>
      </c>
      <c r="G98" s="51">
        <f ca="1"/>
        <v>2.6400000000000001E-5</v>
      </c>
      <c r="H98" s="51">
        <f ca="1"/>
        <v>2.5089999999999999E-5</v>
      </c>
      <c r="I98" s="51">
        <f ca="1"/>
        <v>2.548E-5</v>
      </c>
      <c r="J98" s="56">
        <f ca="1"/>
        <v>655529.35</v>
      </c>
      <c r="K98" s="56">
        <f ca="1"/>
        <v>16.829999999999998</v>
      </c>
    </row>
    <row r="99" spans="4:11" x14ac:dyDescent="0.3">
      <c r="D99" s="50">
        <f ca="1"/>
        <v>1514685600</v>
      </c>
      <c r="E99" s="55">
        <f ca="1"/>
        <v>43100.083333333336</v>
      </c>
      <c r="F99" s="51">
        <f ca="1"/>
        <v>2.548E-5</v>
      </c>
      <c r="G99" s="51">
        <f ca="1"/>
        <v>2.5789999999999999E-5</v>
      </c>
      <c r="H99" s="51">
        <f ca="1"/>
        <v>2.3010000000000002E-5</v>
      </c>
      <c r="I99" s="51">
        <f ca="1"/>
        <v>2.461E-5</v>
      </c>
      <c r="J99" s="56">
        <f ca="1"/>
        <v>1116110.57</v>
      </c>
      <c r="K99" s="56">
        <f ca="1"/>
        <v>27.65</v>
      </c>
    </row>
    <row r="100" spans="4:11" x14ac:dyDescent="0.3">
      <c r="D100" s="50">
        <f ca="1"/>
        <v>1514689200</v>
      </c>
      <c r="E100" s="55">
        <f ca="1"/>
        <v>43100.125</v>
      </c>
      <c r="F100" s="51">
        <f ca="1"/>
        <v>2.461E-5</v>
      </c>
      <c r="G100" s="51">
        <f ca="1"/>
        <v>2.461E-5</v>
      </c>
      <c r="H100" s="51">
        <f ca="1"/>
        <v>2.3E-5</v>
      </c>
      <c r="I100" s="51">
        <f ca="1"/>
        <v>2.302E-5</v>
      </c>
      <c r="J100" s="56">
        <f ca="1"/>
        <v>1026433.88</v>
      </c>
      <c r="K100" s="56">
        <f ca="1"/>
        <v>24.45</v>
      </c>
    </row>
    <row r="101" spans="4:11" x14ac:dyDescent="0.3">
      <c r="D101" s="50">
        <f ca="1"/>
        <v>1514692800</v>
      </c>
      <c r="E101" s="55">
        <f ca="1"/>
        <v>43100.166666666664</v>
      </c>
      <c r="F101" s="51">
        <f ca="1"/>
        <v>2.302E-5</v>
      </c>
      <c r="G101" s="51">
        <f ca="1"/>
        <v>2.4980000000000001E-5</v>
      </c>
      <c r="H101" s="51">
        <f ca="1"/>
        <v>2.3E-5</v>
      </c>
      <c r="I101" s="51">
        <f ca="1"/>
        <v>2.3519999999999998E-5</v>
      </c>
      <c r="J101" s="56">
        <f ca="1"/>
        <v>823782.26</v>
      </c>
      <c r="K101" s="56">
        <f ca="1"/>
        <v>19.62</v>
      </c>
    </row>
    <row r="102" spans="4:11" x14ac:dyDescent="0.3">
      <c r="D102" s="50">
        <f ca="1"/>
        <v>1514696400</v>
      </c>
      <c r="E102" s="55">
        <f ca="1"/>
        <v>43100.208333333336</v>
      </c>
      <c r="F102" s="51">
        <f ca="1"/>
        <v>2.3519999999999998E-5</v>
      </c>
      <c r="G102" s="51">
        <f ca="1"/>
        <v>2.4530000000000001E-5</v>
      </c>
      <c r="H102" s="51">
        <f ca="1"/>
        <v>2.334E-5</v>
      </c>
      <c r="I102" s="51">
        <f ca="1"/>
        <v>2.41E-5</v>
      </c>
      <c r="J102" s="56">
        <f ca="1"/>
        <v>841480.39</v>
      </c>
      <c r="K102" s="56">
        <f ca="1"/>
        <v>20.149999999999999</v>
      </c>
    </row>
    <row r="103" spans="4:11" x14ac:dyDescent="0.3">
      <c r="D103" s="50">
        <f ca="1"/>
        <v>1514700000</v>
      </c>
      <c r="E103" s="55">
        <f ca="1"/>
        <v>43100.25</v>
      </c>
      <c r="F103" s="51">
        <f ca="1"/>
        <v>2.41E-5</v>
      </c>
      <c r="G103" s="51">
        <f ca="1"/>
        <v>2.4980000000000001E-5</v>
      </c>
      <c r="H103" s="51">
        <f ca="1"/>
        <v>2.3989999999999999E-5</v>
      </c>
      <c r="I103" s="51">
        <f ca="1"/>
        <v>2.4600000000000002E-5</v>
      </c>
      <c r="J103" s="56">
        <f ca="1"/>
        <v>1208909.1100000001</v>
      </c>
      <c r="K103" s="56">
        <f ca="1"/>
        <v>29.33</v>
      </c>
    </row>
    <row r="104" spans="4:11" x14ac:dyDescent="0.3">
      <c r="D104" s="50">
        <f ca="1"/>
        <v>1514703600</v>
      </c>
      <c r="E104" s="55">
        <f ca="1"/>
        <v>43100.291666666664</v>
      </c>
      <c r="F104" s="51">
        <f ca="1"/>
        <v>2.4600000000000002E-5</v>
      </c>
      <c r="G104" s="51">
        <f ca="1"/>
        <v>2.4890000000000001E-5</v>
      </c>
      <c r="H104" s="51">
        <f ca="1"/>
        <v>2.4049999999999998E-5</v>
      </c>
      <c r="I104" s="51">
        <f ca="1"/>
        <v>2.4280000000000001E-5</v>
      </c>
      <c r="J104" s="56">
        <f ca="1"/>
        <v>423762.04</v>
      </c>
      <c r="K104" s="56">
        <f ca="1"/>
        <v>10.37</v>
      </c>
    </row>
    <row r="105" spans="4:11" x14ac:dyDescent="0.3">
      <c r="D105" s="50">
        <f ca="1"/>
        <v>1514707200</v>
      </c>
      <c r="E105" s="55">
        <f ca="1"/>
        <v>43100.333333333336</v>
      </c>
      <c r="F105" s="51">
        <f ca="1"/>
        <v>2.4280000000000001E-5</v>
      </c>
      <c r="G105" s="51">
        <f ca="1"/>
        <v>2.4980000000000001E-5</v>
      </c>
      <c r="H105" s="51">
        <f ca="1"/>
        <v>2.4280000000000001E-5</v>
      </c>
      <c r="I105" s="51">
        <f ca="1"/>
        <v>2.497E-5</v>
      </c>
      <c r="J105" s="56">
        <f ca="1"/>
        <v>460486.87</v>
      </c>
      <c r="K105" s="56">
        <f ca="1"/>
        <v>11.38</v>
      </c>
    </row>
    <row r="106" spans="4:11" x14ac:dyDescent="0.3">
      <c r="D106" s="50">
        <f ca="1"/>
        <v>1514710800</v>
      </c>
      <c r="E106" s="55">
        <f ca="1"/>
        <v>43100.375</v>
      </c>
      <c r="F106" s="51">
        <f ca="1"/>
        <v>2.497E-5</v>
      </c>
      <c r="G106" s="51">
        <f ca="1"/>
        <v>2.499E-5</v>
      </c>
      <c r="H106" s="51">
        <f ca="1"/>
        <v>2.4199999999999999E-5</v>
      </c>
      <c r="I106" s="51">
        <f ca="1"/>
        <v>2.4499999999999999E-5</v>
      </c>
      <c r="J106" s="56">
        <f ca="1"/>
        <v>298039.71999999997</v>
      </c>
      <c r="K106" s="56">
        <f ca="1"/>
        <v>7.37</v>
      </c>
    </row>
    <row r="107" spans="4:11" x14ac:dyDescent="0.3">
      <c r="D107" s="50">
        <f ca="1"/>
        <v>1514714400</v>
      </c>
      <c r="E107" s="55">
        <f ca="1"/>
        <v>43100.416666666664</v>
      </c>
      <c r="F107" s="51">
        <f ca="1"/>
        <v>2.4499999999999999E-5</v>
      </c>
      <c r="G107" s="51">
        <f ca="1"/>
        <v>2.5000000000000001E-5</v>
      </c>
      <c r="H107" s="51">
        <f ca="1"/>
        <v>2.4009999999999999E-5</v>
      </c>
      <c r="I107" s="51">
        <f ca="1"/>
        <v>2.48E-5</v>
      </c>
      <c r="J107" s="56">
        <f ca="1"/>
        <v>733414.96</v>
      </c>
      <c r="K107" s="56">
        <f ca="1"/>
        <v>18.11</v>
      </c>
    </row>
    <row r="108" spans="4:11" x14ac:dyDescent="0.3">
      <c r="D108" s="50">
        <f ca="1"/>
        <v>1514718000</v>
      </c>
      <c r="E108" s="55">
        <f ca="1"/>
        <v>43100.458333333336</v>
      </c>
      <c r="F108" s="51">
        <f ca="1"/>
        <v>2.48E-5</v>
      </c>
      <c r="G108" s="51">
        <f ca="1"/>
        <v>2.5000000000000001E-5</v>
      </c>
      <c r="H108" s="51">
        <f ca="1"/>
        <v>2.4300000000000001E-5</v>
      </c>
      <c r="I108" s="51">
        <f ca="1"/>
        <v>2.499E-5</v>
      </c>
      <c r="J108" s="56">
        <f ca="1"/>
        <v>382990.43</v>
      </c>
      <c r="K108" s="56">
        <f ca="1"/>
        <v>9.4700000000000006</v>
      </c>
    </row>
    <row r="109" spans="4:11" x14ac:dyDescent="0.3">
      <c r="D109" s="50">
        <f ca="1"/>
        <v>1514721600</v>
      </c>
      <c r="E109" s="55">
        <f ca="1"/>
        <v>43100.5</v>
      </c>
      <c r="F109" s="51">
        <f ca="1"/>
        <v>2.499E-5</v>
      </c>
      <c r="G109" s="51">
        <f ca="1"/>
        <v>2.69E-5</v>
      </c>
      <c r="H109" s="51">
        <f ca="1"/>
        <v>2.4649999999999999E-5</v>
      </c>
      <c r="I109" s="51">
        <f ca="1"/>
        <v>2.65E-5</v>
      </c>
      <c r="J109" s="56">
        <f ca="1"/>
        <v>884921.11</v>
      </c>
      <c r="K109" s="56">
        <f ca="1"/>
        <v>22.77</v>
      </c>
    </row>
    <row r="110" spans="4:11" x14ac:dyDescent="0.3">
      <c r="D110" s="50">
        <f ca="1"/>
        <v>1514725200</v>
      </c>
      <c r="E110" s="55">
        <f ca="1"/>
        <v>43100.541666666664</v>
      </c>
      <c r="F110" s="51">
        <f ca="1"/>
        <v>2.65E-5</v>
      </c>
      <c r="G110" s="51">
        <f ca="1"/>
        <v>2.69E-5</v>
      </c>
      <c r="H110" s="51">
        <f ca="1"/>
        <v>2.5599999999999999E-5</v>
      </c>
      <c r="I110" s="51">
        <f ca="1"/>
        <v>2.601E-5</v>
      </c>
      <c r="J110" s="56">
        <f ca="1"/>
        <v>637889.97</v>
      </c>
      <c r="K110" s="56">
        <f ca="1"/>
        <v>16.82</v>
      </c>
    </row>
    <row r="111" spans="4:11" x14ac:dyDescent="0.3">
      <c r="D111" s="50">
        <f ca="1"/>
        <v>1514728800</v>
      </c>
      <c r="E111" s="55">
        <f ca="1"/>
        <v>43100.583333333336</v>
      </c>
      <c r="F111" s="51">
        <f ca="1"/>
        <v>2.601E-5</v>
      </c>
      <c r="G111" s="51">
        <f ca="1"/>
        <v>2.62E-5</v>
      </c>
      <c r="H111" s="51">
        <f ca="1"/>
        <v>2.552E-5</v>
      </c>
      <c r="I111" s="51">
        <f ca="1"/>
        <v>2.6149999999999999E-5</v>
      </c>
      <c r="J111" s="56">
        <f ca="1"/>
        <v>752944.24</v>
      </c>
      <c r="K111" s="56">
        <f ca="1"/>
        <v>19.55</v>
      </c>
    </row>
    <row r="112" spans="4:11" x14ac:dyDescent="0.3">
      <c r="D112" s="50">
        <f ca="1"/>
        <v>1514732400</v>
      </c>
      <c r="E112" s="55">
        <f ca="1"/>
        <v>43100.625</v>
      </c>
      <c r="F112" s="51">
        <f ca="1"/>
        <v>2.6149999999999999E-5</v>
      </c>
      <c r="G112" s="51">
        <f ca="1"/>
        <v>2.6149999999999999E-5</v>
      </c>
      <c r="H112" s="51">
        <f ca="1"/>
        <v>2.5219999999999999E-5</v>
      </c>
      <c r="I112" s="51">
        <f ca="1"/>
        <v>2.548E-5</v>
      </c>
      <c r="J112" s="56">
        <f ca="1"/>
        <v>510192.97</v>
      </c>
      <c r="K112" s="56">
        <f ca="1"/>
        <v>13.08</v>
      </c>
    </row>
    <row r="113" spans="4:11" x14ac:dyDescent="0.3">
      <c r="D113" s="50">
        <f ca="1"/>
        <v>1514736000</v>
      </c>
      <c r="E113" s="55">
        <f ca="1"/>
        <v>43100.666666666664</v>
      </c>
      <c r="F113" s="51">
        <f ca="1"/>
        <v>2.548E-5</v>
      </c>
      <c r="G113" s="51">
        <f ca="1"/>
        <v>2.5999999999999998E-5</v>
      </c>
      <c r="H113" s="51">
        <f ca="1"/>
        <v>2.4000000000000001E-5</v>
      </c>
      <c r="I113" s="51">
        <f ca="1"/>
        <v>2.4199999999999999E-5</v>
      </c>
      <c r="J113" s="56">
        <f ca="1"/>
        <v>1292545.7</v>
      </c>
      <c r="K113" s="56">
        <f ca="1"/>
        <v>32.049999999999997</v>
      </c>
    </row>
    <row r="114" spans="4:11" x14ac:dyDescent="0.3">
      <c r="D114" s="50">
        <f ca="1"/>
        <v>1514739600</v>
      </c>
      <c r="E114" s="55">
        <f ca="1"/>
        <v>43100.708333333336</v>
      </c>
      <c r="F114" s="51">
        <f ca="1"/>
        <v>2.4199999999999999E-5</v>
      </c>
      <c r="G114" s="51">
        <f ca="1"/>
        <v>2.6800000000000001E-5</v>
      </c>
      <c r="H114" s="51">
        <f ca="1"/>
        <v>2.4199999999999999E-5</v>
      </c>
      <c r="I114" s="51">
        <f ca="1"/>
        <v>2.65E-5</v>
      </c>
      <c r="J114" s="56">
        <f ca="1"/>
        <v>1024778.94</v>
      </c>
      <c r="K114" s="56">
        <f ca="1"/>
        <v>26.34</v>
      </c>
    </row>
    <row r="115" spans="4:11" x14ac:dyDescent="0.3">
      <c r="D115" s="50">
        <f ca="1"/>
        <v>1514743200</v>
      </c>
      <c r="E115" s="55">
        <f ca="1"/>
        <v>43100.75</v>
      </c>
      <c r="F115" s="51">
        <f ca="1"/>
        <v>2.65E-5</v>
      </c>
      <c r="G115" s="51">
        <f ca="1"/>
        <v>2.6950000000000001E-5</v>
      </c>
      <c r="H115" s="51">
        <f ca="1"/>
        <v>2.5709999999999999E-5</v>
      </c>
      <c r="I115" s="51">
        <f ca="1"/>
        <v>2.658E-5</v>
      </c>
      <c r="J115" s="56">
        <f ca="1"/>
        <v>842622.79</v>
      </c>
      <c r="K115" s="56">
        <f ca="1"/>
        <v>22.1</v>
      </c>
    </row>
    <row r="116" spans="4:11" x14ac:dyDescent="0.3">
      <c r="D116" s="50">
        <f ca="1"/>
        <v>1514746800</v>
      </c>
      <c r="E116" s="55">
        <f ca="1"/>
        <v>43100.791666666664</v>
      </c>
      <c r="F116" s="51">
        <f ca="1"/>
        <v>2.658E-5</v>
      </c>
      <c r="G116" s="51">
        <f ca="1"/>
        <v>2.658E-5</v>
      </c>
      <c r="H116" s="51">
        <f ca="1"/>
        <v>2.5000000000000001E-5</v>
      </c>
      <c r="I116" s="51">
        <f ca="1"/>
        <v>2.586E-5</v>
      </c>
      <c r="J116" s="56">
        <f ca="1"/>
        <v>692118.3</v>
      </c>
      <c r="K116" s="56">
        <f ca="1"/>
        <v>17.82</v>
      </c>
    </row>
    <row r="117" spans="4:11" x14ac:dyDescent="0.3">
      <c r="D117" s="50">
        <f ca="1"/>
        <v>1514750400</v>
      </c>
      <c r="E117" s="55">
        <f ca="1"/>
        <v>43100.833333333336</v>
      </c>
      <c r="F117" s="51">
        <f ca="1"/>
        <v>2.586E-5</v>
      </c>
      <c r="G117" s="51">
        <f ca="1"/>
        <v>2.5939999999999999E-5</v>
      </c>
      <c r="H117" s="51">
        <f ca="1"/>
        <v>2.4879999999999999E-5</v>
      </c>
      <c r="I117" s="51">
        <f ca="1"/>
        <v>2.4879999999999999E-5</v>
      </c>
      <c r="J117" s="56">
        <f ca="1"/>
        <v>428164.11</v>
      </c>
      <c r="K117" s="56">
        <f ca="1"/>
        <v>10.83</v>
      </c>
    </row>
    <row r="118" spans="4:11" x14ac:dyDescent="0.3">
      <c r="D118" s="50">
        <f ca="1"/>
        <v>1514754000</v>
      </c>
      <c r="E118" s="55">
        <f ca="1"/>
        <v>43100.875</v>
      </c>
      <c r="F118" s="51">
        <f ca="1"/>
        <v>2.4879999999999999E-5</v>
      </c>
      <c r="G118" s="51">
        <f ca="1"/>
        <v>2.6279999999999999E-5</v>
      </c>
      <c r="H118" s="51">
        <f ca="1"/>
        <v>2.4830000000000001E-5</v>
      </c>
      <c r="I118" s="51">
        <f ca="1"/>
        <v>2.5829999999999998E-5</v>
      </c>
      <c r="J118" s="56">
        <f ca="1"/>
        <v>420282.38</v>
      </c>
      <c r="K118" s="56">
        <f ca="1"/>
        <v>10.78</v>
      </c>
    </row>
    <row r="119" spans="4:11" x14ac:dyDescent="0.3">
      <c r="D119" s="50">
        <f ca="1"/>
        <v>1514757600</v>
      </c>
      <c r="E119" s="55">
        <f ca="1"/>
        <v>43100.916666666664</v>
      </c>
      <c r="F119" s="51">
        <f ca="1"/>
        <v>2.5829999999999998E-5</v>
      </c>
      <c r="G119" s="51">
        <f ca="1"/>
        <v>2.65E-5</v>
      </c>
      <c r="H119" s="51">
        <f ca="1"/>
        <v>2.5299999999999998E-5</v>
      </c>
      <c r="I119" s="51">
        <f ca="1"/>
        <v>2.599E-5</v>
      </c>
      <c r="J119" s="56">
        <f ca="1"/>
        <v>409310.46</v>
      </c>
      <c r="K119" s="56">
        <f ca="1"/>
        <v>10.58</v>
      </c>
    </row>
    <row r="120" spans="4:11" x14ac:dyDescent="0.3">
      <c r="D120" s="50">
        <f ca="1"/>
        <v>1514761200</v>
      </c>
      <c r="E120" s="55">
        <f ca="1"/>
        <v>43100.958333333336</v>
      </c>
      <c r="F120" s="51">
        <f ca="1"/>
        <v>2.599E-5</v>
      </c>
      <c r="G120" s="51">
        <f ca="1"/>
        <v>2.65E-5</v>
      </c>
      <c r="H120" s="51">
        <f ca="1"/>
        <v>2.5400000000000001E-5</v>
      </c>
      <c r="I120" s="51">
        <f ca="1"/>
        <v>2.6400000000000001E-5</v>
      </c>
      <c r="J120" s="56">
        <f ca="1"/>
        <v>496004.29</v>
      </c>
      <c r="K120" s="56">
        <f ca="1"/>
        <v>12.82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281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281</v>
      </c>
    </row>
    <row r="19" spans="2:3" x14ac:dyDescent="0.3">
      <c r="B19" s="18" t="s">
        <v>280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277</v>
      </c>
      <c r="C21">
        <v>0</v>
      </c>
    </row>
    <row r="22" spans="2:3" x14ac:dyDescent="0.3">
      <c r="B22" t="s">
        <v>278</v>
      </c>
      <c r="C22">
        <v>21776.44</v>
      </c>
    </row>
    <row r="23" spans="2:3" x14ac:dyDescent="0.3">
      <c r="B23" t="s">
        <v>279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39"/>
  <sheetViews>
    <sheetView topLeftCell="A6" zoomScale="85" zoomScaleNormal="85" workbookViewId="0">
      <selection activeCell="B37" sqref="B37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254</v>
      </c>
      <c r="E8" s="15" t="s">
        <v>255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256</v>
      </c>
      <c r="E9" s="15" t="s">
        <v>257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1517484921190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258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258</v>
      </c>
      <c r="D12" s="22" t="s">
        <v>259</v>
      </c>
      <c r="E12" s="22" t="s">
        <v>260</v>
      </c>
      <c r="F12" s="23" t="s">
        <v>22</v>
      </c>
    </row>
    <row r="13" spans="2:6" x14ac:dyDescent="0.3">
      <c r="B13" s="21">
        <v>2</v>
      </c>
      <c r="C13" s="22" t="s">
        <v>258</v>
      </c>
      <c r="D13" s="22" t="s">
        <v>261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258</v>
      </c>
      <c r="D14" s="22" t="s">
        <v>262</v>
      </c>
      <c r="E14" s="22" t="s">
        <v>263</v>
      </c>
      <c r="F14" s="23" t="s">
        <v>22</v>
      </c>
    </row>
    <row r="15" spans="2:6" x14ac:dyDescent="0.3">
      <c r="B15" s="21">
        <v>2</v>
      </c>
      <c r="C15" s="22" t="s">
        <v>258</v>
      </c>
      <c r="D15" s="22" t="s">
        <v>264</v>
      </c>
      <c r="E15" s="22">
        <v>7.7300000000000003E-4</v>
      </c>
      <c r="F15" s="23" t="s">
        <v>22</v>
      </c>
    </row>
    <row r="16" spans="2:6" x14ac:dyDescent="0.3">
      <c r="B16" s="21">
        <v>2</v>
      </c>
      <c r="C16" s="22" t="s">
        <v>258</v>
      </c>
      <c r="D16" s="22" t="s">
        <v>34</v>
      </c>
      <c r="E16" s="22">
        <v>7.7090000000000004E-4</v>
      </c>
      <c r="F16" s="23" t="s">
        <v>22</v>
      </c>
    </row>
    <row r="17" spans="2:18" x14ac:dyDescent="0.3">
      <c r="B17" s="21">
        <v>2</v>
      </c>
      <c r="C17" s="22" t="s">
        <v>258</v>
      </c>
      <c r="D17" s="22" t="s">
        <v>35</v>
      </c>
      <c r="E17" s="22">
        <v>7.7300000000000003E-4</v>
      </c>
      <c r="F17" s="23" t="s">
        <v>22</v>
      </c>
    </row>
    <row r="18" spans="2:18" x14ac:dyDescent="0.3">
      <c r="B18" s="21">
        <v>2</v>
      </c>
      <c r="C18" s="22" t="s">
        <v>258</v>
      </c>
      <c r="D18" s="22" t="s">
        <v>265</v>
      </c>
      <c r="E18" s="22">
        <v>-1.7499999999999998E-5</v>
      </c>
      <c r="F18" s="23" t="s">
        <v>22</v>
      </c>
    </row>
    <row r="19" spans="2:18" x14ac:dyDescent="0.3">
      <c r="B19" s="21">
        <v>2</v>
      </c>
      <c r="C19" s="22" t="s">
        <v>258</v>
      </c>
      <c r="D19" s="22" t="s">
        <v>266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258</v>
      </c>
      <c r="D20" s="22" t="s">
        <v>267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258</v>
      </c>
      <c r="D21" s="22" t="s">
        <v>268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258</v>
      </c>
      <c r="D22" s="22" t="s">
        <v>269</v>
      </c>
      <c r="E22" s="22">
        <v>171.58513196999999</v>
      </c>
      <c r="F22" s="23" t="s">
        <v>22</v>
      </c>
    </row>
    <row r="23" spans="2:18" x14ac:dyDescent="0.3">
      <c r="B23" s="21">
        <v>2</v>
      </c>
      <c r="C23" s="22" t="s">
        <v>258</v>
      </c>
      <c r="D23" s="22" t="s">
        <v>28</v>
      </c>
      <c r="E23" s="22">
        <v>8.2994999999999998E-4</v>
      </c>
      <c r="F23" s="23" t="s">
        <v>22</v>
      </c>
    </row>
    <row r="24" spans="2:18" x14ac:dyDescent="0.3">
      <c r="B24" s="21">
        <v>2</v>
      </c>
      <c r="C24" s="22" t="s">
        <v>258</v>
      </c>
      <c r="D24" s="22" t="s">
        <v>270</v>
      </c>
      <c r="E24" s="22">
        <v>1517484920000</v>
      </c>
      <c r="F24" s="23" t="s">
        <v>22</v>
      </c>
    </row>
    <row r="25" spans="2:18" x14ac:dyDescent="0.3">
      <c r="B25" s="21">
        <v>2</v>
      </c>
      <c r="C25" s="22" t="s">
        <v>258</v>
      </c>
      <c r="D25" s="22" t="s">
        <v>31</v>
      </c>
      <c r="E25" s="22">
        <v>214009.96249999999</v>
      </c>
      <c r="F25" s="23" t="s">
        <v>22</v>
      </c>
    </row>
    <row r="26" spans="2:18" x14ac:dyDescent="0.3">
      <c r="B26" s="21">
        <v>2</v>
      </c>
      <c r="C26" s="22" t="s">
        <v>258</v>
      </c>
      <c r="D26" s="22" t="s">
        <v>29</v>
      </c>
      <c r="E26" s="22">
        <v>7.7088000000000005E-4</v>
      </c>
      <c r="F26" s="23" t="s">
        <v>22</v>
      </c>
    </row>
    <row r="27" spans="2:18" ht="15" thickBot="1" x14ac:dyDescent="0.35">
      <c r="B27" s="6">
        <v>2</v>
      </c>
      <c r="C27" s="7" t="s">
        <v>258</v>
      </c>
      <c r="D27" s="7" t="s">
        <v>271</v>
      </c>
      <c r="E27" s="7">
        <v>-2.2100000000000002E-2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259</v>
      </c>
      <c r="D32" s="28" t="s">
        <v>261</v>
      </c>
      <c r="E32" s="28" t="s">
        <v>262</v>
      </c>
      <c r="F32" s="28" t="s">
        <v>264</v>
      </c>
      <c r="G32" s="28" t="s">
        <v>34</v>
      </c>
      <c r="H32" s="28" t="s">
        <v>35</v>
      </c>
      <c r="I32" s="28" t="s">
        <v>265</v>
      </c>
      <c r="J32" s="28" t="s">
        <v>266</v>
      </c>
      <c r="K32" s="28" t="s">
        <v>267</v>
      </c>
      <c r="L32" s="28" t="s">
        <v>268</v>
      </c>
      <c r="M32" s="28" t="s">
        <v>269</v>
      </c>
      <c r="N32" s="28" t="s">
        <v>28</v>
      </c>
      <c r="O32" s="28" t="s">
        <v>270</v>
      </c>
      <c r="P32" s="28" t="s">
        <v>31</v>
      </c>
      <c r="Q32" s="28" t="s">
        <v>29</v>
      </c>
      <c r="R32" s="29" t="s">
        <v>271</v>
      </c>
    </row>
    <row r="33" spans="2:18" ht="15" thickBot="1" x14ac:dyDescent="0.35">
      <c r="B33" s="6" t="s">
        <v>258</v>
      </c>
      <c r="C33" s="7" t="s">
        <v>260</v>
      </c>
      <c r="D33" s="44" t="b">
        <v>1</v>
      </c>
      <c r="E33" s="44" t="s">
        <v>263</v>
      </c>
      <c r="F33" s="7">
        <v>7.7300000000000003E-4</v>
      </c>
      <c r="G33" s="7">
        <v>7.7090000000000004E-4</v>
      </c>
      <c r="H33" s="7">
        <v>7.7300000000000003E-4</v>
      </c>
      <c r="I33" s="7">
        <v>-1.7499999999999998E-5</v>
      </c>
      <c r="J33" s="7" t="s">
        <v>55</v>
      </c>
      <c r="K33" s="7">
        <v>0</v>
      </c>
      <c r="L33" s="7">
        <v>1E-3</v>
      </c>
      <c r="M33" s="7">
        <v>171.58513196999999</v>
      </c>
      <c r="N33" s="7">
        <v>8.2994999999999998E-4</v>
      </c>
      <c r="O33" s="7">
        <v>1517484920000</v>
      </c>
      <c r="P33" s="7">
        <v>214009.96249999999</v>
      </c>
      <c r="Q33" s="7">
        <v>7.7088000000000005E-4</v>
      </c>
      <c r="R33" s="8">
        <v>-2.2100000000000002E-2</v>
      </c>
    </row>
    <row r="37" spans="2:18" x14ac:dyDescent="0.3">
      <c r="B37" s="18" t="s">
        <v>272</v>
      </c>
    </row>
    <row r="38" spans="2:18" x14ac:dyDescent="0.3">
      <c r="B38" t="s">
        <v>1</v>
      </c>
      <c r="C38" t="s">
        <v>6</v>
      </c>
      <c r="D38" t="s">
        <v>7</v>
      </c>
      <c r="E38" t="s">
        <v>259</v>
      </c>
      <c r="F38" t="s">
        <v>273</v>
      </c>
      <c r="G38" t="s">
        <v>274</v>
      </c>
      <c r="H38" t="s">
        <v>13</v>
      </c>
      <c r="I38" t="s">
        <v>275</v>
      </c>
    </row>
    <row r="39" spans="2:18" x14ac:dyDescent="0.3">
      <c r="B39" t="s">
        <v>258</v>
      </c>
      <c r="C39" t="s">
        <v>276</v>
      </c>
      <c r="D39">
        <v>1</v>
      </c>
      <c r="E39" t="s">
        <v>260</v>
      </c>
      <c r="F39">
        <v>3</v>
      </c>
      <c r="G39">
        <v>0</v>
      </c>
      <c r="H39">
        <v>3</v>
      </c>
      <c r="I3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20</vt:i4>
      </vt:variant>
    </vt:vector>
  </HeadingPairs>
  <TitlesOfParts>
    <vt:vector size="30" baseType="lpstr">
      <vt:lpstr>FORMULAS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2018-02-01T12:18:53Z</dcterms:modified>
</cp:coreProperties>
</file>