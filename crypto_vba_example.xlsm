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7A233E2D-3594-4269-8E57-55123CF41908}" xr6:coauthVersionLast="45" xr6:coauthVersionMax="45" xr10:uidLastSave="{00000000-0000-0000-0000-000000000000}"/>
  <bookViews>
    <workbookView xWindow="-108" yWindow="-108" windowWidth="23256" windowHeight="12576" tabRatio="669" activeTab="2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Huobi" sheetId="20" r:id="rId13"/>
    <sheet name="Kraken" sheetId="1" r:id="rId14"/>
    <sheet name="Kucoin" sheetId="10" r:id="rId15"/>
    <sheet name="OKEx" sheetId="18" r:id="rId16"/>
    <sheet name="Poloniex" sheetId="4" r:id="rId17"/>
  </sheets>
  <functionGroups builtInGroupCount="19"/>
  <externalReferences>
    <externalReference r:id="rId18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D41" i="9"/>
  <c r="D30" i="9"/>
  <c r="F25" i="8"/>
  <c r="D59" i="9" a="1"/>
  <c r="D17" i="9"/>
  <c r="D72" i="9" a="1"/>
  <c r="D16" i="9"/>
  <c r="D18" i="9"/>
  <c r="D42" i="9"/>
  <c r="D29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<sst xmlns="http://schemas.openxmlformats.org/spreadsheetml/2006/main" count="2624" uniqueCount="1278">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</sst>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</cellXfs>
  <cellStyles count="2">
    <cellStyle name="Komma" xfId="1" builtinId="3"/>
    <cellStyle name="Standaard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  <sheetName val="crypto_vba_example_dev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D17" sqref="D17"/>
    </sheetView>
  </sheetViews>
  <sheetFormatPr defaultColWidth="8.88671875"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664062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6640625" style="1" customWidth="1"/>
    <col min="9" max="9" width="14.109375" style="1" customWidth="1"/>
    <col min="10" max="10" width="14.3320312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303.79000000000002</v>
      </c>
    </row>
    <row r="17" spans="2:10" x14ac:dyDescent="0.2">
      <c r="C17" s="4" t="s">
        <v>80</v>
      </c>
      <c r="D17" s="7">
        <f ca="1">C_LAST_PRICE("XLM","BTC","Kraken")</f>
        <v>7.7999999999999999E-6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73.08</v>
      </c>
    </row>
    <row r="30" spans="2:10" x14ac:dyDescent="0.2">
      <c r="C30" s="4" t="s">
        <v>83</v>
      </c>
      <c r="D30" s="6">
        <f ca="1">C_HIST_PRICE("XLM","BTC",DATE(2018,1,1), "Poloniex")</f>
        <v>7.8199999999999997E-6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44077</v>
      </c>
      <c r="E60" s="6">
        <f ca="1"/>
        <v>3.7600000000000001E-2</v>
      </c>
      <c r="F60" s="6">
        <f ca="1"/>
        <v>53114.28</v>
      </c>
    </row>
    <row r="61" spans="3:6" x14ac:dyDescent="0.2">
      <c r="D61" s="10">
        <f ca="1"/>
        <v>44078</v>
      </c>
      <c r="E61" s="6">
        <f ca="1"/>
        <v>3.6889999999999999E-2</v>
      </c>
      <c r="F61" s="6">
        <f ca="1"/>
        <v>24192.87</v>
      </c>
    </row>
    <row r="62" spans="3:6" x14ac:dyDescent="0.2">
      <c r="D62" s="10">
        <f ca="1"/>
        <v>44079</v>
      </c>
      <c r="E62" s="6">
        <f ca="1"/>
        <v>3.2960000000000003E-2</v>
      </c>
      <c r="F62" s="6">
        <f ca="1"/>
        <v>68631.05</v>
      </c>
    </row>
    <row r="63" spans="3:6" x14ac:dyDescent="0.2">
      <c r="D63" s="10">
        <f ca="1"/>
        <v>44080</v>
      </c>
      <c r="E63" s="6">
        <f ca="1"/>
        <v>3.4389999999999997E-2</v>
      </c>
      <c r="F63" s="6">
        <f ca="1"/>
        <v>47224.19</v>
      </c>
    </row>
    <row r="64" spans="3:6" x14ac:dyDescent="0.2">
      <c r="D64" s="10">
        <f ca="1"/>
        <v>44081</v>
      </c>
      <c r="E64" s="6">
        <f ca="1"/>
        <v>3.4079999999999999E-2</v>
      </c>
      <c r="F64" s="6">
        <f ca="1"/>
        <v>34742.11</v>
      </c>
    </row>
    <row r="65" spans="3:11" x14ac:dyDescent="0.2">
      <c r="D65" s="10">
        <f ca="1"/>
        <v>44082</v>
      </c>
      <c r="E65" s="6">
        <f ca="1"/>
        <v>3.3320000000000002E-2</v>
      </c>
      <c r="F65" s="6">
        <f ca="1"/>
        <v>28307.919999999998</v>
      </c>
    </row>
    <row r="66" spans="3:11" x14ac:dyDescent="0.2">
      <c r="D66" s="10">
        <f ca="1"/>
        <v>44083</v>
      </c>
      <c r="E66" s="6">
        <f ca="1"/>
        <v>3.4340000000000002E-2</v>
      </c>
      <c r="F66" s="6">
        <f ca="1"/>
        <v>27970.77</v>
      </c>
    </row>
    <row r="67" spans="3:11" x14ac:dyDescent="0.2">
      <c r="D67" s="10">
        <f ca="1"/>
        <v>44084</v>
      </c>
      <c r="E67" s="6">
        <f ca="1"/>
        <v>3.5580000000000001E-2</v>
      </c>
      <c r="F67" s="6">
        <f ca="1"/>
        <v>34430.67</v>
      </c>
    </row>
    <row r="68" spans="3:11" x14ac:dyDescent="0.2">
      <c r="D68" s="10">
        <f ca="1"/>
        <v>44085</v>
      </c>
      <c r="E68" s="6">
        <f ca="1"/>
        <v>3.5970000000000002E-2</v>
      </c>
      <c r="F68" s="6">
        <f ca="1"/>
        <v>31095.8</v>
      </c>
    </row>
    <row r="69" spans="3:11" x14ac:dyDescent="0.2">
      <c r="D69" s="10">
        <f ca="1"/>
        <v>44086</v>
      </c>
      <c r="E69" s="6">
        <f ca="1"/>
        <v>3.7139999999999999E-2</v>
      </c>
      <c r="F69" s="6">
        <f ca="1"/>
        <v>25184.59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ColWidth="8.88671875"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tabSelected="1" zoomScaleNormal="100" workbookViewId="0">
      <selection activeCell="D12" sqref="D12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6640625" style="1" bestFit="1" customWidth="1"/>
    <col min="13" max="13" width="10.664062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topLeftCell="A16" zoomScaleNormal="100" workbookViewId="0">
      <selection activeCell="A36" sqref="A36:XFD37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4.4" x14ac:dyDescent="0.3"/>
  <cols>
    <col min="1" max="1" width="3.664062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1263</v>
      </c>
    </row>
    <row r="3" spans="1:3" s="1" customFormat="1" ht="11.4" x14ac:dyDescent="0.2">
      <c r="B3" s="16" t="s">
        <v>1268</v>
      </c>
    </row>
    <row r="4" spans="1:3" s="1" customFormat="1" ht="11.4" x14ac:dyDescent="0.2">
      <c r="B4" s="1" t="s">
        <v>142</v>
      </c>
    </row>
    <row r="5" spans="1:3" s="1" customFormat="1" ht="11.4" x14ac:dyDescent="0.2"/>
    <row r="6" spans="1:3" s="1" customFormat="1" ht="11.4" x14ac:dyDescent="0.2">
      <c r="B6" s="4" t="s">
        <v>1264</v>
      </c>
      <c r="C6" s="19" t="s">
        <v>1265</v>
      </c>
    </row>
    <row r="7" spans="1:3" s="1" customFormat="1" ht="11.4" x14ac:dyDescent="0.2">
      <c r="B7" s="4" t="s">
        <v>1266</v>
      </c>
      <c r="C7" s="19" t="s">
        <v>1265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141</v>
      </c>
    </row>
    <row r="12" spans="1:3" s="1" customFormat="1" ht="11.4" x14ac:dyDescent="0.2">
      <c r="A12" s="4"/>
    </row>
    <row r="13" spans="1:3" s="1" customFormat="1" ht="11.4" x14ac:dyDescent="0.2">
      <c r="B13" s="1" t="s">
        <v>1267</v>
      </c>
    </row>
    <row r="14" spans="1:3" s="1" customFormat="1" ht="11.4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ColWidth="8.88671875" defaultRowHeight="11.4" x14ac:dyDescent="0.2"/>
  <cols>
    <col min="1" max="1" width="5.6640625" style="1" customWidth="1"/>
    <col min="2" max="2" width="22.88671875" style="1" customWidth="1"/>
    <col min="3" max="3" width="33.6640625" style="1" bestFit="1" customWidth="1"/>
    <col min="4" max="4" width="11.3320312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3320312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88671875" defaultRowHeight="13.8" x14ac:dyDescent="0.25"/>
  <cols>
    <col min="1" max="1" width="3.6640625" style="41" customWidth="1"/>
    <col min="2" max="6" width="17.3320312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ColWidth="8.88671875" defaultRowHeight="11.4" x14ac:dyDescent="0.2"/>
  <cols>
    <col min="1" max="1" width="5" style="1" customWidth="1"/>
    <col min="2" max="2" width="20.6640625" style="1" customWidth="1"/>
    <col min="3" max="3" width="18.3320312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ColWidth="8.88671875"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4.4" x14ac:dyDescent="0.3"/>
  <cols>
    <col min="1" max="1" width="4.33203125" customWidth="1"/>
    <col min="2" max="2" width="17.88671875" customWidth="1"/>
    <col min="3" max="3" width="17.33203125" customWidth="1"/>
    <col min="4" max="4" width="7.33203125" bestFit="1" customWidth="1"/>
    <col min="5" max="5" width="22.6640625" bestFit="1" customWidth="1"/>
    <col min="6" max="6" width="7.5546875" bestFit="1" customWidth="1"/>
    <col min="7" max="7" width="9" bestFit="1" customWidth="1"/>
    <col min="8" max="8" width="14.33203125" customWidth="1"/>
    <col min="11" max="11" width="14.44140625" customWidth="1"/>
  </cols>
  <sheetData>
    <row r="1" spans="1:6" s="1" customFormat="1" ht="11.4" x14ac:dyDescent="0.2"/>
    <row r="2" spans="1:6" s="1" customFormat="1" ht="17.399999999999999" x14ac:dyDescent="0.3">
      <c r="B2" s="18" t="s">
        <v>1269</v>
      </c>
    </row>
    <row r="3" spans="1:6" s="1" customFormat="1" ht="11.4" x14ac:dyDescent="0.2">
      <c r="B3" s="16" t="s">
        <v>1270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1271</v>
      </c>
      <c r="C6" s="19" t="s">
        <v>1265</v>
      </c>
    </row>
    <row r="7" spans="1:6" s="1" customFormat="1" ht="11.4" x14ac:dyDescent="0.2">
      <c r="B7" s="4" t="s">
        <v>1272</v>
      </c>
      <c r="C7" s="19" t="s">
        <v>1265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1277</v>
      </c>
    </row>
    <row r="14" spans="1:6" s="1" customFormat="1" ht="11.4" x14ac:dyDescent="0.2"/>
    <row r="15" spans="1:6" x14ac:dyDescent="0.3">
      <c r="A15" s="4" t="s">
        <v>143</v>
      </c>
    </row>
    <row r="16" spans="1:6" ht="15" thickBot="1" x14ac:dyDescent="0.35">
      <c r="B16" s="2" t="s">
        <v>22</v>
      </c>
      <c r="C16" s="3"/>
      <c r="D16" s="3"/>
      <c r="E16" s="3"/>
      <c r="F16" s="3"/>
    </row>
    <row r="17" spans="2:6" x14ac:dyDescent="0.3">
      <c r="B17" s="48" t="s">
        <v>13</v>
      </c>
      <c r="C17" s="49" t="s">
        <v>14</v>
      </c>
      <c r="D17" s="49" t="s">
        <v>15</v>
      </c>
      <c r="E17" s="49" t="s">
        <v>16</v>
      </c>
      <c r="F17" s="50" t="s">
        <v>17</v>
      </c>
    </row>
    <row r="18" spans="2:6" x14ac:dyDescent="0.3">
      <c r="B18" s="51">
        <v>1</v>
      </c>
      <c r="C18" s="52" t="s">
        <v>18</v>
      </c>
      <c r="D18" s="52" t="s">
        <v>505</v>
      </c>
      <c r="E18" s="52" t="s">
        <v>506</v>
      </c>
      <c r="F18" s="53" t="s">
        <v>21</v>
      </c>
    </row>
    <row r="19" spans="2:6" x14ac:dyDescent="0.3">
      <c r="B19" s="51">
        <v>1</v>
      </c>
      <c r="C19" s="52" t="s">
        <v>18</v>
      </c>
      <c r="D19" s="52" t="s">
        <v>1273</v>
      </c>
      <c r="E19" s="52" t="s">
        <v>1274</v>
      </c>
      <c r="F19" s="53" t="s">
        <v>21</v>
      </c>
    </row>
    <row r="20" spans="2:6" x14ac:dyDescent="0.3">
      <c r="B20" s="51">
        <v>1</v>
      </c>
      <c r="C20" s="52" t="s">
        <v>18</v>
      </c>
      <c r="D20" s="52" t="s">
        <v>1275</v>
      </c>
      <c r="E20" s="52">
        <v>1582632630437</v>
      </c>
      <c r="F20" s="53" t="s">
        <v>21</v>
      </c>
    </row>
    <row r="21" spans="2:6" x14ac:dyDescent="0.3">
      <c r="B21" s="51">
        <v>1</v>
      </c>
      <c r="C21" s="52" t="s">
        <v>18</v>
      </c>
      <c r="D21" s="52" t="s">
        <v>94</v>
      </c>
      <c r="E21" s="52">
        <v>2</v>
      </c>
      <c r="F21" s="53" t="s">
        <v>20</v>
      </c>
    </row>
    <row r="22" spans="2:6" x14ac:dyDescent="0.3">
      <c r="B22" s="51">
        <v>2</v>
      </c>
      <c r="C22" s="52" t="s">
        <v>94</v>
      </c>
      <c r="D22" s="52">
        <v>1</v>
      </c>
      <c r="E22" s="52">
        <v>8</v>
      </c>
      <c r="F22" s="53" t="s">
        <v>20</v>
      </c>
    </row>
    <row r="23" spans="2:6" x14ac:dyDescent="0.3">
      <c r="B23" s="51">
        <v>3</v>
      </c>
      <c r="C23" s="52">
        <v>1</v>
      </c>
      <c r="D23" s="52" t="s">
        <v>11</v>
      </c>
      <c r="E23" s="52">
        <v>668241.70831907203</v>
      </c>
      <c r="F23" s="53" t="s">
        <v>21</v>
      </c>
    </row>
    <row r="24" spans="2:6" x14ac:dyDescent="0.3">
      <c r="B24" s="51">
        <v>3</v>
      </c>
      <c r="C24" s="52">
        <v>1</v>
      </c>
      <c r="D24" s="52" t="s">
        <v>323</v>
      </c>
      <c r="E24" s="52">
        <v>267.58999999999997</v>
      </c>
      <c r="F24" s="53" t="s">
        <v>21</v>
      </c>
    </row>
    <row r="25" spans="2:6" x14ac:dyDescent="0.3">
      <c r="B25" s="51">
        <v>3</v>
      </c>
      <c r="C25" s="52">
        <v>1</v>
      </c>
      <c r="D25" s="52" t="s">
        <v>102</v>
      </c>
      <c r="E25" s="52">
        <v>263.10000000000002</v>
      </c>
      <c r="F25" s="53" t="s">
        <v>21</v>
      </c>
    </row>
    <row r="26" spans="2:6" x14ac:dyDescent="0.3">
      <c r="B26" s="51">
        <v>3</v>
      </c>
      <c r="C26" s="52">
        <v>1</v>
      </c>
      <c r="D26" s="52" t="s">
        <v>24</v>
      </c>
      <c r="E26" s="52">
        <v>270.68</v>
      </c>
      <c r="F26" s="53" t="s">
        <v>21</v>
      </c>
    </row>
    <row r="27" spans="2:6" x14ac:dyDescent="0.3">
      <c r="B27" s="51">
        <v>3</v>
      </c>
      <c r="C27" s="52">
        <v>1</v>
      </c>
      <c r="D27" s="52" t="s">
        <v>443</v>
      </c>
      <c r="E27" s="52">
        <v>1582560000</v>
      </c>
      <c r="F27" s="53" t="s">
        <v>21</v>
      </c>
    </row>
    <row r="28" spans="2:6" x14ac:dyDescent="0.3">
      <c r="B28" s="51">
        <v>3</v>
      </c>
      <c r="C28" s="52">
        <v>1</v>
      </c>
      <c r="D28" s="52" t="s">
        <v>1276</v>
      </c>
      <c r="E28" s="52">
        <v>218854</v>
      </c>
      <c r="F28" s="53" t="s">
        <v>21</v>
      </c>
    </row>
    <row r="29" spans="2:6" x14ac:dyDescent="0.3">
      <c r="B29" s="51">
        <v>3</v>
      </c>
      <c r="C29" s="52">
        <v>1</v>
      </c>
      <c r="D29" s="52" t="s">
        <v>25</v>
      </c>
      <c r="E29" s="52">
        <v>255.23</v>
      </c>
      <c r="F29" s="53" t="s">
        <v>21</v>
      </c>
    </row>
    <row r="30" spans="2:6" x14ac:dyDescent="0.3">
      <c r="B30" s="51">
        <v>3</v>
      </c>
      <c r="C30" s="52">
        <v>1</v>
      </c>
      <c r="D30" s="52" t="s">
        <v>26</v>
      </c>
      <c r="E30" s="52">
        <v>174629722.62127799</v>
      </c>
      <c r="F30" s="53" t="s">
        <v>21</v>
      </c>
    </row>
    <row r="31" spans="2:6" x14ac:dyDescent="0.3">
      <c r="B31" s="51">
        <v>2</v>
      </c>
      <c r="C31" s="52">
        <v>1</v>
      </c>
      <c r="D31" s="52">
        <v>2</v>
      </c>
      <c r="E31" s="52">
        <v>8</v>
      </c>
      <c r="F31" s="53" t="s">
        <v>20</v>
      </c>
    </row>
    <row r="32" spans="2:6" x14ac:dyDescent="0.3">
      <c r="B32" s="51">
        <v>3</v>
      </c>
      <c r="C32" s="52">
        <v>2</v>
      </c>
      <c r="D32" s="52" t="s">
        <v>11</v>
      </c>
      <c r="E32" s="52">
        <v>692939.11265911104</v>
      </c>
      <c r="F32" s="53" t="s">
        <v>21</v>
      </c>
    </row>
    <row r="33" spans="1:11" x14ac:dyDescent="0.3">
      <c r="B33" s="51">
        <v>3</v>
      </c>
      <c r="C33" s="52">
        <v>2</v>
      </c>
      <c r="D33" s="52" t="s">
        <v>323</v>
      </c>
      <c r="E33" s="52">
        <v>270.05</v>
      </c>
      <c r="F33" s="53" t="s">
        <v>21</v>
      </c>
    </row>
    <row r="34" spans="1:11" x14ac:dyDescent="0.3">
      <c r="B34" s="51">
        <v>3</v>
      </c>
      <c r="C34" s="52">
        <v>2</v>
      </c>
      <c r="D34" s="52" t="s">
        <v>102</v>
      </c>
      <c r="E34" s="52">
        <v>267.61</v>
      </c>
      <c r="F34" s="53" t="s">
        <v>21</v>
      </c>
    </row>
    <row r="35" spans="1:11" x14ac:dyDescent="0.3">
      <c r="B35" s="51">
        <v>3</v>
      </c>
      <c r="C35" s="52">
        <v>2</v>
      </c>
      <c r="D35" s="52" t="s">
        <v>24</v>
      </c>
      <c r="E35" s="52">
        <v>277</v>
      </c>
      <c r="F35" s="53" t="s">
        <v>21</v>
      </c>
    </row>
    <row r="36" spans="1:11" x14ac:dyDescent="0.3">
      <c r="B36" s="51">
        <v>3</v>
      </c>
      <c r="C36" s="52">
        <v>2</v>
      </c>
      <c r="D36" s="52" t="s">
        <v>443</v>
      </c>
      <c r="E36" s="52">
        <v>1582473600</v>
      </c>
      <c r="F36" s="53" t="s">
        <v>21</v>
      </c>
    </row>
    <row r="37" spans="1:11" x14ac:dyDescent="0.3">
      <c r="B37" s="51">
        <v>3</v>
      </c>
      <c r="C37" s="52">
        <v>2</v>
      </c>
      <c r="D37" s="52" t="s">
        <v>1276</v>
      </c>
      <c r="E37" s="52">
        <v>194307</v>
      </c>
      <c r="F37" s="53" t="s">
        <v>21</v>
      </c>
    </row>
    <row r="38" spans="1:11" x14ac:dyDescent="0.3">
      <c r="B38" s="51">
        <v>3</v>
      </c>
      <c r="C38" s="52">
        <v>2</v>
      </c>
      <c r="D38" s="52" t="s">
        <v>25</v>
      </c>
      <c r="E38" s="52">
        <v>263.79000000000002</v>
      </c>
      <c r="F38" s="53" t="s">
        <v>21</v>
      </c>
    </row>
    <row r="39" spans="1:11" ht="15" thickBot="1" x14ac:dyDescent="0.35">
      <c r="B39" s="54">
        <v>3</v>
      </c>
      <c r="C39" s="55">
        <v>2</v>
      </c>
      <c r="D39" s="55" t="s">
        <v>26</v>
      </c>
      <c r="E39" s="55">
        <v>186867478.97363701</v>
      </c>
      <c r="F39" s="56" t="s">
        <v>21</v>
      </c>
    </row>
    <row r="42" spans="1:11" s="1" customFormat="1" ht="11.4" x14ac:dyDescent="0.2">
      <c r="A42" s="4" t="s">
        <v>144</v>
      </c>
    </row>
    <row r="43" spans="1:11" s="1" customFormat="1" ht="12" thickBot="1" x14ac:dyDescent="0.25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3">
      <c r="B44" s="48" t="s">
        <v>1</v>
      </c>
      <c r="C44" s="49" t="s">
        <v>6</v>
      </c>
      <c r="D44" s="49" t="s">
        <v>11</v>
      </c>
      <c r="E44" s="49" t="s">
        <v>323</v>
      </c>
      <c r="F44" s="49" t="s">
        <v>102</v>
      </c>
      <c r="G44" s="49" t="s">
        <v>24</v>
      </c>
      <c r="H44" s="49" t="s">
        <v>443</v>
      </c>
      <c r="I44" s="49" t="s">
        <v>1276</v>
      </c>
      <c r="J44" s="49" t="s">
        <v>25</v>
      </c>
      <c r="K44" s="50" t="s">
        <v>26</v>
      </c>
    </row>
    <row r="45" spans="1:11" x14ac:dyDescent="0.3">
      <c r="B45" s="51" t="s">
        <v>94</v>
      </c>
      <c r="C45" s="52">
        <v>1</v>
      </c>
      <c r="D45" s="52">
        <v>668241.70831907203</v>
      </c>
      <c r="E45" s="57">
        <v>267.58999999999997</v>
      </c>
      <c r="F45" s="57">
        <v>263.10000000000002</v>
      </c>
      <c r="G45" s="57">
        <v>270.68</v>
      </c>
      <c r="H45" s="52">
        <v>1582560000</v>
      </c>
      <c r="I45" s="52">
        <v>218854</v>
      </c>
      <c r="J45" s="57">
        <v>255.23</v>
      </c>
      <c r="K45" s="59">
        <v>174629722.62127799</v>
      </c>
    </row>
    <row r="46" spans="1:11" ht="15" thickBot="1" x14ac:dyDescent="0.35">
      <c r="B46" s="54" t="s">
        <v>94</v>
      </c>
      <c r="C46" s="55">
        <v>2</v>
      </c>
      <c r="D46" s="55">
        <v>692939.11265911104</v>
      </c>
      <c r="E46" s="58">
        <v>270.05</v>
      </c>
      <c r="F46" s="58">
        <v>267.61</v>
      </c>
      <c r="G46" s="58">
        <v>277</v>
      </c>
      <c r="H46" s="55">
        <v>1582473600</v>
      </c>
      <c r="I46" s="55">
        <v>194307</v>
      </c>
      <c r="J46" s="58">
        <v>263.79000000000002</v>
      </c>
      <c r="K46" s="60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88671875"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664062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3320312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1245</v>
      </c>
    </row>
    <row r="3" spans="1:6" x14ac:dyDescent="0.2">
      <c r="B3" s="16" t="s">
        <v>1246</v>
      </c>
    </row>
    <row r="4" spans="1:6" x14ac:dyDescent="0.2">
      <c r="B4" s="1" t="s">
        <v>142</v>
      </c>
    </row>
    <row r="6" spans="1:6" x14ac:dyDescent="0.2">
      <c r="B6" s="4" t="s">
        <v>1247</v>
      </c>
      <c r="C6" s="19" t="s">
        <v>1240</v>
      </c>
    </row>
    <row r="7" spans="1:6" x14ac:dyDescent="0.2">
      <c r="B7" s="4" t="s">
        <v>1248</v>
      </c>
      <c r="C7" s="47" t="s">
        <v>1240</v>
      </c>
    </row>
    <row r="8" spans="1:6" x14ac:dyDescent="0.2">
      <c r="B8" s="4" t="s">
        <v>1249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1250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2">
      <c r="A33" s="4" t="s">
        <v>144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25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2">
      <c r="A40" s="4" t="s">
        <v>145</v>
      </c>
    </row>
    <row r="42" spans="1:14" x14ac:dyDescent="0.2">
      <c r="B42" s="2" t="s">
        <v>311</v>
      </c>
      <c r="C42" s="2"/>
      <c r="D42" s="2"/>
    </row>
    <row r="43" spans="1:14" x14ac:dyDescent="0.2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2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88671875" defaultRowHeight="11.4" x14ac:dyDescent="0.2"/>
  <cols>
    <col min="1" max="1" width="3.6640625" style="1" customWidth="1"/>
    <col min="2" max="2" width="17.44140625" style="1" bestFit="1" customWidth="1"/>
    <col min="3" max="3" width="18.33203125" style="1" bestFit="1" customWidth="1"/>
    <col min="4" max="5" width="17.109375" style="1" customWidth="1"/>
    <col min="6" max="6" width="20.3320312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3320312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34</vt:i4>
      </vt:variant>
    </vt:vector>
  </HeadingPairs>
  <TitlesOfParts>
    <vt:vector size="51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2020-09-13T16:33:17Z</dcterms:modified>
</cp:coreProperties>
</file>