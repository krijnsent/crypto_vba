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6" xr2:uid="{00000000-000D-0000-FFFF-FFFF00000000}"/>
  </bookViews>
  <sheets>
    <sheet name="KRAKEN" sheetId="1" r:id="rId1"/>
    <sheet name="Bittrex" sheetId="3" r:id="rId2"/>
    <sheet name="Binance" sheetId="8" r:id="rId3"/>
    <sheet name="Poloniex" sheetId="4" r:id="rId4"/>
    <sheet name="WEXnz" sheetId="2" r:id="rId5"/>
    <sheet name="Cryptopia" sheetId="7" r:id="rId6"/>
    <sheet name="Liqui" sheetId="5" r:id="rId7"/>
    <sheet name="Coinone" sheetId="6" r:id="rId8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liqui">Liqui!$C$2</definedName>
    <definedName name="apikey_poloniex">Poloniex!$C$2</definedName>
    <definedName name="apikey_wexnz">WEXnz!$C$2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liqui">Liqui!$C$3</definedName>
    <definedName name="secretkey_poloniex">Poloniex!$C$3</definedName>
    <definedName name="secretkey_wexnz">WEXnz!$C$3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8" l="1"/>
  <c r="L31" i="5"/>
  <c r="L32" i="5"/>
  <c r="L31" i="2"/>
  <c r="L32" i="2"/>
  <c r="K38" i="2"/>
  <c r="K37" i="2"/>
</calcChain>
</file>

<file path=xl/sharedStrings.xml><?xml version="1.0" encoding="utf-8"?>
<sst xmlns="http://schemas.openxmlformats.org/spreadsheetml/2006/main" count="552" uniqueCount="222">
  <si>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</si>
  <si>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</si>
  <si>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</si>
  <si>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</si>
  <si>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</si>
  <si>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</si>
  <si>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</si>
  <si>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</si>
  <si>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</si>
  <si>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</si>
  <si>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</si>
  <si>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</si>
  <si>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</si>
  <si>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</si>
  <si>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</si>
  <si>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</si>
  <si>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</si>
  <si>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</si>
  <si>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</si>
  <si>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</si>
  <si>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</si>
  <si>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</si>
  <si>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</si>
  <si>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</si>
  <si>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</si>
  <si>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</si>
  <si>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</si>
  <si>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</si>
  <si>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</si>
  <si>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</si>
  <si>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</si>
  <si>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</si>
  <si>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</si>
  <si>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</si>
  <si>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</si>
  <si>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</si>
  <si>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</si>
  <si>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</si>
  <si>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</si>
  <si>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</si>
  <si>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</si>
  <si>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</si>
  <si>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</si>
  <si>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</si>
  <si>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</si>
  <si>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</si>
  <si>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</si>
  <si>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</si>
  <si>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</si>
  <si>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</si>
  <si>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</si>
  <si>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</si>
  <si>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</si>
  <si>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</si>
  <si>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</si>
  <si>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</si>
  <si>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</si>
  <si>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</si>
  <si>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Thu,  7 Sep 17 09:15:34 +0000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</si>
  <si>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</si>
  <si>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</si>
  <si>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</si>
  <si>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</si>
  <si>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</si>
  <si>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</si>
  <si>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</si>
  <si>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</si>
  <si>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</si>
  <si>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</si>
  <si>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</si>
  <si>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</si>
  <si>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</si>
  <si>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</si>
  <si>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</si>
  <si>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</si>
  <si>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</si>
  <si>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</si>
  <si>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</si>
  <si>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</si>
  <si>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</si>
  <si>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</si>
  <si>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</si>
  <si>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</si>
  <si>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</si>
  <si>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</si>
  <si>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</si>
  <si>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</si>
  <si>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</si>
  <si>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</si>
  <si>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</si>
  <si>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</si>
  <si>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</si>
  <si>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</si>
  <si>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</si>
  <si>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</si>
  <si>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</si>
  <si>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</si>
  <si>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</si>
  <si>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</si>
  <si>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</si>
  <si>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</si>
  <si>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</si>
  <si>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</si>
  <si>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</si>
  <si>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</si>
  <si>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</si>
  <si>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</si>
  <si>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</si>
  <si>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</si>
  <si>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</si>
  <si>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</si>
  <si>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</si>
  <si>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</si>
  <si>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</si>
  <si>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</si>
  <si>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</si>
  <si>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</si>
  <si>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</si>
  <si>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</si>
  <si>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</si>
  <si>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</si>
  <si>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</si>
  <si>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</si>
  <si>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</si>
  <si>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</si>
  <si>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</si>
  <si>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</si>
  <si>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</si>
  <si>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</si>
  <si>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</si>
  <si>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</si>
  <si>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</si>
  <si>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</si>
  <si>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</si>
  <si>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</si>
  <si>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</si>
  <si>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</si>
  <si>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eth_btc</t>
  </si>
  <si>
    <t>san_btc</t>
  </si>
  <si>
    <t>btc</t>
  </si>
  <si>
    <t>ltc</t>
  </si>
  <si>
    <t>steem</t>
  </si>
  <si>
    <t>sbd</t>
  </si>
  <si>
    <t>dash</t>
  </si>
  <si>
    <t>ans</t>
  </si>
  <si>
    <t>dct</t>
  </si>
  <si>
    <t>icn</t>
  </si>
  <si>
    <t>eth</t>
  </si>
  <si>
    <t>xzc</t>
  </si>
  <si>
    <t>xxx</t>
  </si>
  <si>
    <t>golos</t>
  </si>
  <si>
    <t>gbg</t>
  </si>
  <si>
    <t>gnt</t>
  </si>
  <si>
    <t>wings</t>
  </si>
  <si>
    <t>plu</t>
  </si>
  <si>
    <t>round</t>
  </si>
  <si>
    <t>vsl</t>
  </si>
  <si>
    <t>VAL_1st</t>
  </si>
  <si>
    <t>waves</t>
  </si>
  <si>
    <t>incnt</t>
  </si>
  <si>
    <t>mln</t>
  </si>
  <si>
    <t>usdt</t>
  </si>
  <si>
    <t>rep</t>
  </si>
  <si>
    <t>edg</t>
  </si>
  <si>
    <t>rlc</t>
  </si>
  <si>
    <t>trst</t>
  </si>
  <si>
    <t>gno</t>
  </si>
  <si>
    <t>gup</t>
  </si>
  <si>
    <t>taas</t>
  </si>
  <si>
    <t>lun</t>
  </si>
  <si>
    <t>tkn</t>
  </si>
  <si>
    <t>hmq</t>
  </si>
  <si>
    <t>bcap</t>
  </si>
  <si>
    <t>ant</t>
  </si>
  <si>
    <t>bat</t>
  </si>
  <si>
    <t>qrl</t>
  </si>
  <si>
    <t>bnt</t>
  </si>
  <si>
    <t>mgo</t>
  </si>
  <si>
    <t>myst</t>
  </si>
  <si>
    <t>sngls</t>
  </si>
  <si>
    <t>ptoy</t>
  </si>
  <si>
    <t>cfi</t>
  </si>
  <si>
    <t>snm</t>
  </si>
  <si>
    <t>snt</t>
  </si>
  <si>
    <t>mco</t>
  </si>
  <si>
    <t>storj</t>
  </si>
  <si>
    <t>adx</t>
  </si>
  <si>
    <t>eos</t>
  </si>
  <si>
    <t>pay</t>
  </si>
  <si>
    <t>xid</t>
  </si>
  <si>
    <t>omg</t>
  </si>
  <si>
    <t>san</t>
  </si>
  <si>
    <t>qtum</t>
  </si>
  <si>
    <t>cvc</t>
  </si>
  <si>
    <t>net</t>
  </si>
  <si>
    <t>dgd</t>
  </si>
  <si>
    <t>oax</t>
  </si>
  <si>
    <t>bcc</t>
  </si>
  <si>
    <t>dnt</t>
  </si>
  <si>
    <t>stx</t>
  </si>
  <si>
    <t>zrx</t>
  </si>
  <si>
    <t>tnt</t>
  </si>
  <si>
    <t>ae</t>
  </si>
  <si>
    <t>ven</t>
  </si>
  <si>
    <t>bmc</t>
  </si>
  <si>
    <t>mana</t>
  </si>
  <si>
    <t>pro</t>
  </si>
  <si>
    <t>knc</t>
  </si>
  <si>
    <t>salt</t>
  </si>
  <si>
    <t>ind</t>
  </si>
  <si>
    <t>trx</t>
  </si>
  <si>
    <t>eng</t>
  </si>
  <si>
    <t>ast</t>
  </si>
  <si>
    <t>req</t>
  </si>
  <si>
    <t>neu</t>
  </si>
  <si>
    <t>srn</t>
  </si>
  <si>
    <t>info</t>
  </si>
  <si>
    <t>trade</t>
  </si>
  <si>
    <t>withdraw</t>
  </si>
  <si>
    <t>funds</t>
  </si>
  <si>
    <t>rights</t>
  </si>
  <si>
    <t>Liqui GetInfo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</si>
</sst>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\-mmm\-yy"/>
    <numFmt numFmtId="166" formatCode="_(* #,##0.00000_);_(* \(#,##0.000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165" fontId="0" fillId="0" borderId="0" xfId="0" applyNumberFormat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Font="1" applyBorder="1"/>
    <xf numFmtId="166" fontId="0" fillId="0" borderId="0" xfId="1" applyNumberFormat="1" applyFont="1" applyBorder="1"/>
    <xf numFmtId="166" fontId="0" fillId="0" borderId="7" xfId="1" applyNumberFormat="1" applyFont="1" applyBorder="1"/>
    <xf numFmtId="166" fontId="0" fillId="0" borderId="5" xfId="1" applyNumberFormat="1" applyFont="1" applyBorder="1"/>
    <xf numFmtId="166" fontId="0" fillId="0" borderId="6" xfId="1" applyNumberFormat="1" applyFont="1" applyBorder="1"/>
    <xf numFmtId="22" fontId="0" fillId="0" borderId="0" xfId="0" applyNumberFormat="1"/>
  </cellXfs>
  <cellStyles count="2">
    <cellStyle name="Komma" xfId="1" builtinId="3"/>
    <cellStyle name="Standaard" xfId="0" builtinId="0"/>
  </cellStyles>
  <dxfs count="3">
    <dxf>
      <numFmt numFmtId="165" formatCode="d\-mmm\-yy"/>
    </dxf>
    <dxf>
      <numFmt numFmtId="167" formatCode="m/d/yyyy\ h:mm"/>
    </dxf>
    <dxf>
      <numFmt numFmtId="165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Ledgers" displayName="Tbl_Kraken_Ledgers" ref="B20:M21" insertRow="1" totalsRowShown="0">
  <autoFilter ref="B20:M21" xr:uid="{00000000-0009-0000-0100-000004000000}"/>
  <tableColumns count="12">
    <tableColumn id="1" xr3:uid="{00000000-0010-0000-0000-000001000000}" name="GROUP_1"/>
    <tableColumn id="2" xr3:uid="{00000000-0010-0000-0000-000002000000}" name="GROUP_2"/>
    <tableColumn id="3" xr3:uid="{00000000-0010-0000-0000-000003000000}" name="GROUP_3"/>
    <tableColumn id="4" xr3:uid="{00000000-0010-0000-0000-000004000000}" name="refid"/>
    <tableColumn id="5" xr3:uid="{00000000-0010-0000-0000-000005000000}" name="time"/>
    <tableColumn id="6" xr3:uid="{00000000-0010-0000-0000-000006000000}" name="type"/>
    <tableColumn id="7" xr3:uid="{00000000-0010-0000-0000-000007000000}" name="aclass"/>
    <tableColumn id="8" xr3:uid="{00000000-0010-0000-0000-000008000000}" name="asset"/>
    <tableColumn id="9" xr3:uid="{00000000-0010-0000-0000-000009000000}" name="amount"/>
    <tableColumn id="10" xr3:uid="{00000000-0010-0000-0000-00000A000000}" name="fee"/>
    <tableColumn id="11" xr3:uid="{00000000-0010-0000-0000-00000B000000}" name="balance"/>
    <tableColumn id="12" xr3:uid="{00000000-0010-0000-0000-00000C000000}" name="Column1" dataDxfId="2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A17507-6432-4BF6-A045-1F93EAA2B4A0}" name="Tbl_Liqui_Info" displayName="Tbl_Liqui_Info" ref="B36:CF38" totalsRowShown="0">
  <autoFilter ref="B36:CF38" xr:uid="{72A1367B-53A6-4760-81D6-BD4735131134}"/>
  <tableColumns count="83">
    <tableColumn id="1" xr3:uid="{5D417EF7-9567-485D-9D24-A2940070B7B9}" name="GROUP_1"/>
    <tableColumn id="2" xr3:uid="{5A724281-EBEB-43A2-B8C0-240A56539901}" name="GROUP_2"/>
    <tableColumn id="3" xr3:uid="{4DBDC0B3-A5E3-4C51-9CDA-E77F745865D5}" name="btc"/>
    <tableColumn id="4" xr3:uid="{DCA94E8D-02EC-483E-88B6-160F62C71087}" name="ltc"/>
    <tableColumn id="5" xr3:uid="{8C1D444A-3CF2-4E4C-BB6B-3320946C3B23}" name="steem"/>
    <tableColumn id="6" xr3:uid="{7008A1D4-9C51-4E2E-A71A-A2B2DE1D28F4}" name="sbd"/>
    <tableColumn id="7" xr3:uid="{57D38A4F-86A7-48F4-BD95-1EFBD454BD46}" name="dash"/>
    <tableColumn id="8" xr3:uid="{E0443609-CE70-4007-867E-54090AB218DD}" name="ans"/>
    <tableColumn id="9" xr3:uid="{24E09DD8-C375-4580-ABB2-FCE5C5D78F13}" name="dct"/>
    <tableColumn id="10" xr3:uid="{AAD65C66-D04C-426C-92BF-11F0A5DEACDF}" name="icn"/>
    <tableColumn id="11" xr3:uid="{67E63427-68D2-449E-A677-50973F9E5890}" name="eth"/>
    <tableColumn id="12" xr3:uid="{09F1C5BB-EF12-406F-8FA3-9A2A0D34F784}" name="xzc"/>
    <tableColumn id="13" xr3:uid="{F46A0CB7-457F-4024-AC72-6EC778FE8AA8}" name="xxx"/>
    <tableColumn id="14" xr3:uid="{8A5E231C-F38C-465B-992F-456EF17C8A02}" name="golos"/>
    <tableColumn id="15" xr3:uid="{8C515E94-0F00-44D9-A6D5-7AF8AF8933D7}" name="gbg"/>
    <tableColumn id="16" xr3:uid="{BB7A4F07-3F03-4427-B52A-D28A765D7735}" name="gnt"/>
    <tableColumn id="17" xr3:uid="{AFD95511-8C67-452D-8668-809A0C096D74}" name="wings"/>
    <tableColumn id="18" xr3:uid="{38A10241-E55D-43E9-ACFA-0DDF72CBEEA7}" name="plu"/>
    <tableColumn id="19" xr3:uid="{93B0A2C1-9CC5-418C-A58D-CFF1600028E2}" name="round"/>
    <tableColumn id="20" xr3:uid="{B5D4B2F4-AE07-4DB2-ADF7-7616FEA12EC4}" name="vsl"/>
    <tableColumn id="21" xr3:uid="{3AFA6926-01D2-4784-9A04-6071C65928CF}" name="VAL_1st"/>
    <tableColumn id="22" xr3:uid="{27E884F3-F074-4C3E-A5DD-D2C2865337D3}" name="waves"/>
    <tableColumn id="23" xr3:uid="{85135781-752A-4850-925A-EB0D336E6CAA}" name="incnt"/>
    <tableColumn id="24" xr3:uid="{61CCF53A-D4C8-42B2-831C-0D662C7AD8EC}" name="mln"/>
    <tableColumn id="25" xr3:uid="{253D70A9-1D53-4964-A6A8-55F62AB55982}" name="time"/>
    <tableColumn id="26" xr3:uid="{B5E2334F-E45E-44EB-800F-388646596139}" name="usdt"/>
    <tableColumn id="27" xr3:uid="{AB062FE4-E693-4542-92B6-EE84CAFE8F76}" name="rep"/>
    <tableColumn id="28" xr3:uid="{3294F0C1-D1EE-4E44-87F1-BAAD312EF415}" name="edg"/>
    <tableColumn id="29" xr3:uid="{79D38068-38D7-4B12-8318-86D6D1507D69}" name="rlc"/>
    <tableColumn id="30" xr3:uid="{AB8F8702-1F58-43EE-BF49-E6D0EE4CD101}" name="trst"/>
    <tableColumn id="31" xr3:uid="{9F5D87F8-182F-42B9-B706-6E91EE9CF435}" name="gno"/>
    <tableColumn id="32" xr3:uid="{B5720D41-561D-4051-B1A2-D5CF737783D4}" name="gup"/>
    <tableColumn id="33" xr3:uid="{A074CA80-2882-4362-B7E7-908C87B90E51}" name="taas"/>
    <tableColumn id="34" xr3:uid="{0F90CA75-7073-49A6-B932-CB8BE648EBD4}" name="lun"/>
    <tableColumn id="35" xr3:uid="{5A9EF7AD-BEDC-4FCF-8B58-FF51FF45BB69}" name="tkn"/>
    <tableColumn id="36" xr3:uid="{543D88DC-D076-4254-B722-7784E582B326}" name="hmq"/>
    <tableColumn id="37" xr3:uid="{BBA25FB6-FB0B-4792-8ED8-A4D0692BC090}" name="bcap"/>
    <tableColumn id="38" xr3:uid="{AA19D72A-CB96-40F0-987F-4D09A3EE26D2}" name="ant"/>
    <tableColumn id="39" xr3:uid="{4EF8592A-37A6-41B2-866E-2E211722102B}" name="bat"/>
    <tableColumn id="40" xr3:uid="{B0434EC3-22D4-4A23-821C-0D63D5CC906D}" name="qrl"/>
    <tableColumn id="41" xr3:uid="{CF0430A6-F95C-48DF-AB82-A32C1967AA4F}" name="bnt"/>
    <tableColumn id="42" xr3:uid="{F57F3C4A-EFD0-423E-A877-91BE6FFAFA25}" name="mgo"/>
    <tableColumn id="43" xr3:uid="{18CD3F50-D606-496B-820E-076AEA877C70}" name="myst"/>
    <tableColumn id="44" xr3:uid="{5D6AEEA3-9648-4E93-8F9C-5148C2C9E443}" name="sngls"/>
    <tableColumn id="45" xr3:uid="{C879CAF4-1458-49CB-9FE5-127A18184674}" name="ptoy"/>
    <tableColumn id="46" xr3:uid="{4D60615D-982B-4BB8-A9A6-7F528EC01296}" name="cfi"/>
    <tableColumn id="47" xr3:uid="{367C0419-985F-49F9-8748-BE8F0F38A11D}" name="snm"/>
    <tableColumn id="48" xr3:uid="{BC138EDE-4A7C-4A9C-AC6A-B5F280ECD982}" name="snt"/>
    <tableColumn id="49" xr3:uid="{8BCC8020-94B0-491D-987B-7763DA169B15}" name="mco"/>
    <tableColumn id="50" xr3:uid="{497C5369-E69F-4070-A58A-879E7BAEA388}" name="storj"/>
    <tableColumn id="51" xr3:uid="{282AAF34-6168-4525-AF7B-5E3832E7771F}" name="adx"/>
    <tableColumn id="52" xr3:uid="{0407293F-F2C9-486C-8714-ACB25F861B6E}" name="eos"/>
    <tableColumn id="53" xr3:uid="{7AD9EAE3-67BD-44F3-AC56-55C3E3B93A35}" name="pay"/>
    <tableColumn id="54" xr3:uid="{8C3AA084-83FD-403F-9C0A-042E76B00460}" name="xid"/>
    <tableColumn id="55" xr3:uid="{9BDDAF60-A852-4EAA-A21F-9BF6359BCFFC}" name="omg"/>
    <tableColumn id="56" xr3:uid="{31B25641-A601-4C19-9274-2F86A3C97BBD}" name="san"/>
    <tableColumn id="57" xr3:uid="{0D4100A4-20C0-4D15-BDFA-6F9871DF1F27}" name="qtum"/>
    <tableColumn id="58" xr3:uid="{C8453404-7E17-47D0-B977-77A35DBC5B3E}" name="cvc"/>
    <tableColumn id="59" xr3:uid="{883173C1-138A-45DD-906F-8D0A3C1BFE7E}" name="net"/>
    <tableColumn id="60" xr3:uid="{CA2CAFA9-B608-406E-8B44-B43C6A929459}" name="dgd"/>
    <tableColumn id="61" xr3:uid="{F6B69BA9-2B73-44A3-9980-17F5BFA2F99F}" name="oax"/>
    <tableColumn id="62" xr3:uid="{4F533309-4AE1-433F-AD39-863576533E65}" name="bcc"/>
    <tableColumn id="63" xr3:uid="{D7A9E06D-27E3-4D7A-8D13-F2BF9F4BC510}" name="dnt"/>
    <tableColumn id="64" xr3:uid="{D3C4BD10-3AEA-4C8E-B787-F490B1D23AF0}" name="stx"/>
    <tableColumn id="65" xr3:uid="{D3592895-1231-4AA2-AE90-9DAEF82CDB1A}" name="zrx"/>
    <tableColumn id="66" xr3:uid="{911461B5-690A-4568-B9BB-2798DF08D10C}" name="tnt"/>
    <tableColumn id="67" xr3:uid="{1039AB22-2D7B-4588-BE64-3B4126F79EBA}" name="ae"/>
    <tableColumn id="68" xr3:uid="{213D8F0E-D154-4B13-92F1-F5AE73E28F36}" name="ven"/>
    <tableColumn id="69" xr3:uid="{BF03BB97-C961-4244-AF59-987B95673E6D}" name="bmc"/>
    <tableColumn id="70" xr3:uid="{C88E1BC7-036F-4007-805F-82D7C65FE76D}" name="mana"/>
    <tableColumn id="71" xr3:uid="{84E583ED-0C4E-4209-A1C7-429A134D083F}" name="pro"/>
    <tableColumn id="72" xr3:uid="{6DD56A7D-2FA1-4C01-B96B-FD992E12DE58}" name="knc"/>
    <tableColumn id="73" xr3:uid="{AEC57B90-6491-46EC-BAB8-F3C24F49CDD4}" name="salt"/>
    <tableColumn id="74" xr3:uid="{43B3CAF4-D1E7-46E8-9B4A-9C36B53381D6}" name="ind"/>
    <tableColumn id="75" xr3:uid="{B1F667DD-3B54-4F00-918B-472D57150A63}" name="trx"/>
    <tableColumn id="76" xr3:uid="{BF7173BC-1F83-4180-BFAA-FEE204007F46}" name="eng"/>
    <tableColumn id="77" xr3:uid="{5F6088C2-F18F-419D-8229-A19390585BD1}" name="ast"/>
    <tableColumn id="78" xr3:uid="{0A29A3B7-2C6E-44EF-B099-732DEC13FBDA}" name="req"/>
    <tableColumn id="79" xr3:uid="{7E814CA1-08B7-43EB-84D1-A16B656B1AD7}" name="neu"/>
    <tableColumn id="80" xr3:uid="{D5BD052F-05D3-4A6B-9A6A-337D6C9B9CA3}" name="srn"/>
    <tableColumn id="81" xr3:uid="{93530686-22D3-408D-86CD-B936AD0E3ACC}" name="info"/>
    <tableColumn id="82" xr3:uid="{8CE415ED-FD37-4A96-A17F-CE43A8CF0ED3}" name="trade"/>
    <tableColumn id="83" xr3:uid="{117D8165-0FD9-47A8-BBE7-C794906DFA81}" name="withdra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21"/>
  <sheetViews>
    <sheetView zoomScale="85" zoomScaleNormal="85" workbookViewId="0">
      <selection activeCell="E15" sqref="E15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29</v>
      </c>
    </row>
    <row r="3" spans="2:6" x14ac:dyDescent="0.3">
      <c r="B3" s="1" t="s">
        <v>5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1504775734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58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1504775734</v>
      </c>
      <c r="D15" s="8" t="s">
        <v>58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3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3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51</v>
      </c>
      <c r="C2" s="2" t="s">
        <v>29</v>
      </c>
    </row>
    <row r="3" spans="2:6" x14ac:dyDescent="0.3">
      <c r="B3" s="1" t="s">
        <v>52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27" t="s">
        <v>16</v>
      </c>
      <c r="C6" s="28" t="s">
        <v>17</v>
      </c>
      <c r="D6" s="28" t="s">
        <v>18</v>
      </c>
      <c r="E6" s="28" t="s">
        <v>19</v>
      </c>
      <c r="F6" s="29" t="s">
        <v>20</v>
      </c>
    </row>
    <row r="7" spans="2:6" x14ac:dyDescent="0.3">
      <c r="B7" s="17">
        <v>1</v>
      </c>
      <c r="C7" s="15" t="s">
        <v>21</v>
      </c>
      <c r="D7" s="15" t="s">
        <v>53</v>
      </c>
      <c r="E7" s="15" t="b">
        <v>1</v>
      </c>
      <c r="F7" s="16" t="s">
        <v>24</v>
      </c>
    </row>
    <row r="8" spans="2:6" x14ac:dyDescent="0.3">
      <c r="B8" s="17">
        <v>1</v>
      </c>
      <c r="C8" s="15" t="s">
        <v>21</v>
      </c>
      <c r="D8" s="15" t="s">
        <v>54</v>
      </c>
      <c r="E8" s="15"/>
      <c r="F8" s="16" t="s">
        <v>24</v>
      </c>
    </row>
    <row r="9" spans="2:6" x14ac:dyDescent="0.3">
      <c r="B9" s="17">
        <v>1</v>
      </c>
      <c r="C9" s="15" t="s">
        <v>21</v>
      </c>
      <c r="D9" s="15" t="s">
        <v>4</v>
      </c>
      <c r="E9" s="15">
        <v>3</v>
      </c>
      <c r="F9" s="16" t="s">
        <v>23</v>
      </c>
    </row>
    <row r="10" spans="2:6" x14ac:dyDescent="0.3">
      <c r="B10" s="17">
        <v>2</v>
      </c>
      <c r="C10" s="15" t="s">
        <v>4</v>
      </c>
      <c r="D10" s="15" t="s">
        <v>55</v>
      </c>
      <c r="E10" s="15">
        <v>4.7E-7</v>
      </c>
      <c r="F10" s="16" t="s">
        <v>24</v>
      </c>
    </row>
    <row r="11" spans="2:6" x14ac:dyDescent="0.3">
      <c r="B11" s="21">
        <v>2</v>
      </c>
      <c r="C11" s="22" t="s">
        <v>4</v>
      </c>
      <c r="D11" s="22" t="s">
        <v>56</v>
      </c>
      <c r="E11" s="22">
        <v>4.7999999999999996E-7</v>
      </c>
      <c r="F11" s="23" t="s">
        <v>24</v>
      </c>
    </row>
    <row r="12" spans="2:6" ht="15" thickBot="1" x14ac:dyDescent="0.35">
      <c r="B12" s="6">
        <v>2</v>
      </c>
      <c r="C12" s="7" t="s">
        <v>4</v>
      </c>
      <c r="D12" s="7" t="s">
        <v>57</v>
      </c>
      <c r="E12" s="7">
        <v>4.7999999999999996E-7</v>
      </c>
      <c r="F12" s="8" t="s">
        <v>24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55</v>
      </c>
      <c r="D16" s="28" t="s">
        <v>56</v>
      </c>
      <c r="E16" s="29" t="s">
        <v>57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8" t="s">
        <v>65</v>
      </c>
      <c r="C21" s="18"/>
      <c r="D21" s="18"/>
    </row>
    <row r="22" spans="2:8" x14ac:dyDescent="0.3">
      <c r="B22" t="s">
        <v>1</v>
      </c>
      <c r="C22" t="s">
        <v>6</v>
      </c>
      <c r="D22" t="s">
        <v>59</v>
      </c>
      <c r="E22" t="s">
        <v>61</v>
      </c>
      <c r="F22" t="s">
        <v>62</v>
      </c>
      <c r="G22" t="s">
        <v>63</v>
      </c>
      <c r="H22" t="s">
        <v>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workbookViewId="0">
      <selection activeCell="B12" sqref="B12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78</v>
      </c>
      <c r="C2" s="2" t="s">
        <v>29</v>
      </c>
    </row>
    <row r="3" spans="2:6" x14ac:dyDescent="0.3">
      <c r="B3" s="1" t="s">
        <v>79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ht="15" thickBot="1" x14ac:dyDescent="0.35">
      <c r="B7" s="12">
        <v>1</v>
      </c>
      <c r="C7" s="13" t="s">
        <v>21</v>
      </c>
      <c r="D7" s="13" t="s">
        <v>80</v>
      </c>
      <c r="E7" s="42">
        <v>1513850504147</v>
      </c>
      <c r="F7" s="14" t="s">
        <v>24</v>
      </c>
    </row>
    <row r="10" spans="2:6" ht="15" thickBot="1" x14ac:dyDescent="0.35">
      <c r="B10" s="18" t="s">
        <v>26</v>
      </c>
      <c r="D10" s="18" t="s">
        <v>81</v>
      </c>
      <c r="E10" s="18"/>
    </row>
    <row r="11" spans="2:6" x14ac:dyDescent="0.3">
      <c r="B11" s="39" t="s">
        <v>80</v>
      </c>
      <c r="D11" s="27" t="s">
        <v>88</v>
      </c>
      <c r="E11" s="29" t="s">
        <v>82</v>
      </c>
    </row>
    <row r="12" spans="2:6" ht="15" thickBot="1" x14ac:dyDescent="0.35">
      <c r="B12" s="40">
        <v>1513850504147</v>
      </c>
      <c r="D12" s="38">
        <v>1513854104300</v>
      </c>
      <c r="E12" s="41">
        <f>B12-D12</f>
        <v>-3600153</v>
      </c>
    </row>
    <row r="16" spans="2:6" x14ac:dyDescent="0.3">
      <c r="B16" s="18" t="s">
        <v>89</v>
      </c>
      <c r="C16" s="18"/>
      <c r="D16" s="18"/>
    </row>
    <row r="17" spans="2:6" x14ac:dyDescent="0.3">
      <c r="B17" t="s">
        <v>1</v>
      </c>
      <c r="C17" t="s">
        <v>6</v>
      </c>
      <c r="D17" t="s">
        <v>12</v>
      </c>
      <c r="E17" t="s">
        <v>84</v>
      </c>
      <c r="F17" t="s">
        <v>85</v>
      </c>
    </row>
    <row r="18" spans="2:6" x14ac:dyDescent="0.3">
      <c r="B18" t="s">
        <v>83</v>
      </c>
      <c r="C18">
        <v>1</v>
      </c>
      <c r="D18" t="s">
        <v>60</v>
      </c>
      <c r="E18">
        <v>0</v>
      </c>
      <c r="F18">
        <v>0</v>
      </c>
    </row>
    <row r="19" spans="2:6" x14ac:dyDescent="0.3">
      <c r="B19" t="s">
        <v>83</v>
      </c>
      <c r="C19">
        <v>2</v>
      </c>
      <c r="D19" t="s">
        <v>86</v>
      </c>
      <c r="E19">
        <v>0</v>
      </c>
      <c r="F19">
        <v>0</v>
      </c>
    </row>
    <row r="20" spans="2:6" x14ac:dyDescent="0.3">
      <c r="B20" t="s">
        <v>83</v>
      </c>
      <c r="C20">
        <v>3</v>
      </c>
      <c r="D20" t="s">
        <v>87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workbookViewId="0">
      <selection activeCell="B25" sqref="B25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66</v>
      </c>
      <c r="C2" s="2" t="s">
        <v>29</v>
      </c>
    </row>
    <row r="3" spans="2:6" x14ac:dyDescent="0.3">
      <c r="B3" s="1" t="s">
        <v>67</v>
      </c>
      <c r="C3" s="2" t="s">
        <v>30</v>
      </c>
    </row>
    <row r="5" spans="2:6" ht="15" thickBot="1" x14ac:dyDescent="0.35">
      <c r="B5" s="18" t="s">
        <v>25</v>
      </c>
      <c r="C5" s="19"/>
      <c r="D5" s="19"/>
    </row>
    <row r="6" spans="2:6" x14ac:dyDescent="0.3">
      <c r="B6" s="9" t="s">
        <v>16</v>
      </c>
      <c r="C6" s="10" t="s">
        <v>17</v>
      </c>
      <c r="D6" s="10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90</v>
      </c>
      <c r="E7" s="22">
        <v>1</v>
      </c>
      <c r="F7" s="23" t="s">
        <v>23</v>
      </c>
    </row>
    <row r="8" spans="2:6" x14ac:dyDescent="0.3">
      <c r="B8" s="21">
        <v>2</v>
      </c>
      <c r="C8" s="22" t="s">
        <v>90</v>
      </c>
      <c r="D8" s="22">
        <v>1</v>
      </c>
      <c r="E8" s="22">
        <v>2</v>
      </c>
      <c r="F8" s="23" t="s">
        <v>23</v>
      </c>
    </row>
    <row r="9" spans="2:6" x14ac:dyDescent="0.3">
      <c r="B9" s="21">
        <v>3</v>
      </c>
      <c r="C9" s="22">
        <v>1</v>
      </c>
      <c r="D9" s="22">
        <v>1</v>
      </c>
      <c r="E9" s="22">
        <v>4.9996770000000003E-2</v>
      </c>
      <c r="F9" s="23" t="s">
        <v>24</v>
      </c>
    </row>
    <row r="10" spans="2:6" x14ac:dyDescent="0.3">
      <c r="B10" s="21">
        <v>3</v>
      </c>
      <c r="C10" s="22">
        <v>1</v>
      </c>
      <c r="D10" s="22">
        <v>2</v>
      </c>
      <c r="E10" s="22">
        <v>4.9949746700000004</v>
      </c>
      <c r="F10" s="23" t="s">
        <v>24</v>
      </c>
    </row>
    <row r="11" spans="2:6" x14ac:dyDescent="0.3">
      <c r="B11" s="21">
        <v>1</v>
      </c>
      <c r="C11" s="22" t="s">
        <v>21</v>
      </c>
      <c r="D11" s="22" t="s">
        <v>91</v>
      </c>
      <c r="E11" s="22">
        <v>1</v>
      </c>
      <c r="F11" s="23" t="s">
        <v>23</v>
      </c>
    </row>
    <row r="12" spans="2:6" x14ac:dyDescent="0.3">
      <c r="B12" s="21">
        <v>2</v>
      </c>
      <c r="C12" s="22" t="s">
        <v>91</v>
      </c>
      <c r="D12" s="22">
        <v>1</v>
      </c>
      <c r="E12" s="22">
        <v>2</v>
      </c>
      <c r="F12" s="23" t="s">
        <v>23</v>
      </c>
    </row>
    <row r="13" spans="2:6" x14ac:dyDescent="0.3">
      <c r="B13" s="21">
        <v>3</v>
      </c>
      <c r="C13" s="22">
        <v>1</v>
      </c>
      <c r="D13" s="22">
        <v>1</v>
      </c>
      <c r="E13" s="22">
        <v>4.9885029999999997E-2</v>
      </c>
      <c r="F13" s="23" t="s">
        <v>24</v>
      </c>
    </row>
    <row r="14" spans="2:6" x14ac:dyDescent="0.3">
      <c r="B14" s="21">
        <v>3</v>
      </c>
      <c r="C14" s="22">
        <v>1</v>
      </c>
      <c r="D14" s="22">
        <v>2</v>
      </c>
      <c r="E14" s="22">
        <v>26.324120059999998</v>
      </c>
      <c r="F14" s="23" t="s">
        <v>24</v>
      </c>
    </row>
    <row r="15" spans="2:6" x14ac:dyDescent="0.3">
      <c r="B15" s="21">
        <v>1</v>
      </c>
      <c r="C15" s="22" t="s">
        <v>21</v>
      </c>
      <c r="D15" s="22" t="s">
        <v>92</v>
      </c>
      <c r="E15" s="22">
        <v>0</v>
      </c>
      <c r="F15" s="23" t="s">
        <v>24</v>
      </c>
    </row>
    <row r="16" spans="2:6" ht="15" thickBot="1" x14ac:dyDescent="0.35">
      <c r="B16" s="6">
        <v>1</v>
      </c>
      <c r="C16" s="7" t="s">
        <v>21</v>
      </c>
      <c r="D16" s="7" t="s">
        <v>93</v>
      </c>
      <c r="E16" s="7">
        <v>459077833</v>
      </c>
      <c r="F16" s="8" t="s">
        <v>24</v>
      </c>
    </row>
    <row r="19" spans="2:13" ht="15" thickBot="1" x14ac:dyDescent="0.35">
      <c r="B19" s="18" t="s">
        <v>26</v>
      </c>
    </row>
    <row r="20" spans="2:13" x14ac:dyDescent="0.3">
      <c r="B20" s="3" t="s">
        <v>1</v>
      </c>
      <c r="C20" s="4" t="s">
        <v>6</v>
      </c>
      <c r="D20" s="4" t="s">
        <v>94</v>
      </c>
      <c r="E20" s="5" t="s">
        <v>95</v>
      </c>
    </row>
    <row r="21" spans="2:13" x14ac:dyDescent="0.3">
      <c r="B21" s="21" t="s">
        <v>90</v>
      </c>
      <c r="C21" s="22">
        <v>1</v>
      </c>
      <c r="D21" s="43">
        <v>4.9996770000000003E-2</v>
      </c>
      <c r="E21" s="44">
        <v>4.9949746700000004</v>
      </c>
    </row>
    <row r="22" spans="2:13" ht="15" thickBot="1" x14ac:dyDescent="0.35">
      <c r="B22" s="6" t="s">
        <v>91</v>
      </c>
      <c r="C22" s="7">
        <v>1</v>
      </c>
      <c r="D22" s="45">
        <v>4.9885029999999997E-2</v>
      </c>
      <c r="E22" s="46">
        <v>26.324120059999998</v>
      </c>
    </row>
    <row r="25" spans="2:13" x14ac:dyDescent="0.3">
      <c r="B25" s="18" t="s">
        <v>96</v>
      </c>
    </row>
    <row r="26" spans="2:13" x14ac:dyDescent="0.3">
      <c r="B26" t="s">
        <v>1</v>
      </c>
      <c r="C26" t="s">
        <v>6</v>
      </c>
      <c r="D26" t="s">
        <v>99</v>
      </c>
      <c r="E26" t="s">
        <v>100</v>
      </c>
      <c r="F26" s="47" t="s">
        <v>49</v>
      </c>
      <c r="G26" t="s">
        <v>45</v>
      </c>
      <c r="H26" t="s">
        <v>13</v>
      </c>
      <c r="I26" t="s">
        <v>101</v>
      </c>
      <c r="J26" t="s">
        <v>14</v>
      </c>
      <c r="K26" t="s">
        <v>102</v>
      </c>
      <c r="L26" t="s">
        <v>10</v>
      </c>
      <c r="M26" t="s">
        <v>103</v>
      </c>
    </row>
    <row r="27" spans="2:13" x14ac:dyDescent="0.3">
      <c r="B27" t="s">
        <v>97</v>
      </c>
      <c r="C27">
        <v>1</v>
      </c>
      <c r="D27">
        <v>999</v>
      </c>
      <c r="E27">
        <v>1888</v>
      </c>
      <c r="F27" s="47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39</v>
      </c>
      <c r="M27" t="s">
        <v>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topLeftCell="A16" workbookViewId="0">
      <selection activeCell="L30" sqref="L30:L31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7" t="s">
        <v>75</v>
      </c>
    </row>
    <row r="2" spans="2:6" x14ac:dyDescent="0.3">
      <c r="B2" s="1" t="s">
        <v>70</v>
      </c>
      <c r="C2" s="2" t="s">
        <v>29</v>
      </c>
    </row>
    <row r="3" spans="2:6" x14ac:dyDescent="0.3">
      <c r="B3" s="1" t="s">
        <v>71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31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31</v>
      </c>
      <c r="D8" s="22" t="s">
        <v>32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31</v>
      </c>
      <c r="D9" s="22" t="s">
        <v>33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31</v>
      </c>
      <c r="D10" s="22" t="s">
        <v>34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31</v>
      </c>
      <c r="D11" s="22" t="s">
        <v>35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31</v>
      </c>
      <c r="D12" s="22" t="s">
        <v>36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31</v>
      </c>
      <c r="D13" s="22" t="s">
        <v>37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31</v>
      </c>
      <c r="D14" s="22" t="s">
        <v>38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31</v>
      </c>
      <c r="D15" s="22" t="s">
        <v>39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31</v>
      </c>
      <c r="D16" s="22" t="s">
        <v>40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41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41</v>
      </c>
      <c r="D18" s="22" t="s">
        <v>32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41</v>
      </c>
      <c r="D19" s="22" t="s">
        <v>33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41</v>
      </c>
      <c r="D20" s="22" t="s">
        <v>34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41</v>
      </c>
      <c r="D21" s="22" t="s">
        <v>35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41</v>
      </c>
      <c r="D22" s="22" t="s">
        <v>36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41</v>
      </c>
      <c r="D23" s="22" t="s">
        <v>37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41</v>
      </c>
      <c r="D24" s="22" t="s">
        <v>38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41</v>
      </c>
      <c r="D25" s="22" t="s">
        <v>39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41</v>
      </c>
      <c r="D26" s="7" t="s">
        <v>40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32</v>
      </c>
      <c r="D30" s="28" t="s">
        <v>33</v>
      </c>
      <c r="E30" s="28" t="s">
        <v>34</v>
      </c>
      <c r="F30" s="28" t="s">
        <v>35</v>
      </c>
      <c r="G30" s="28" t="s">
        <v>36</v>
      </c>
      <c r="H30" s="28" t="s">
        <v>37</v>
      </c>
      <c r="I30" s="28" t="s">
        <v>38</v>
      </c>
      <c r="J30" s="28" t="s">
        <v>39</v>
      </c>
      <c r="K30" s="29" t="s">
        <v>40</v>
      </c>
      <c r="L30" s="32" t="s">
        <v>42</v>
      </c>
    </row>
    <row r="31" spans="2:12" x14ac:dyDescent="0.3">
      <c r="B31" s="21" t="s">
        <v>31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41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50</v>
      </c>
      <c r="C35" s="18"/>
      <c r="D35" s="18"/>
    </row>
    <row r="36" spans="2:11" x14ac:dyDescent="0.3">
      <c r="B36" t="s">
        <v>1</v>
      </c>
      <c r="C36" t="s">
        <v>6</v>
      </c>
      <c r="D36" t="s">
        <v>44</v>
      </c>
      <c r="E36" t="s">
        <v>10</v>
      </c>
      <c r="F36" t="s">
        <v>13</v>
      </c>
      <c r="G36" t="s">
        <v>45</v>
      </c>
      <c r="H36" t="s">
        <v>46</v>
      </c>
      <c r="I36" t="s">
        <v>47</v>
      </c>
      <c r="J36" t="s">
        <v>48</v>
      </c>
      <c r="K36" t="s">
        <v>49</v>
      </c>
    </row>
    <row r="37" spans="2:11" x14ac:dyDescent="0.3">
      <c r="B37" t="s">
        <v>43</v>
      </c>
      <c r="C37">
        <v>101929500</v>
      </c>
      <c r="D37" t="s">
        <v>31</v>
      </c>
      <c r="E37" t="s">
        <v>39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43</v>
      </c>
      <c r="C38">
        <v>101929500</v>
      </c>
      <c r="D38" t="s">
        <v>31</v>
      </c>
      <c r="E38" t="s">
        <v>39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C2" sqref="C2:C3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76</v>
      </c>
      <c r="C2" s="2" t="s">
        <v>29</v>
      </c>
    </row>
    <row r="3" spans="2:6" x14ac:dyDescent="0.3">
      <c r="B3" s="1" t="s">
        <v>77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104</v>
      </c>
      <c r="E7" s="22" t="b">
        <v>1</v>
      </c>
      <c r="F7" s="23" t="s">
        <v>24</v>
      </c>
    </row>
    <row r="8" spans="2:6" x14ac:dyDescent="0.3">
      <c r="B8" s="21">
        <v>1</v>
      </c>
      <c r="C8" s="22" t="s">
        <v>21</v>
      </c>
      <c r="D8" s="22" t="s">
        <v>105</v>
      </c>
      <c r="E8" s="22"/>
      <c r="F8" s="23" t="s">
        <v>24</v>
      </c>
    </row>
    <row r="9" spans="2:6" x14ac:dyDescent="0.3">
      <c r="B9" s="21">
        <v>1</v>
      </c>
      <c r="C9" s="22" t="s">
        <v>21</v>
      </c>
      <c r="D9" s="22" t="s">
        <v>106</v>
      </c>
      <c r="E9" s="22">
        <v>16</v>
      </c>
      <c r="F9" s="23" t="s">
        <v>23</v>
      </c>
    </row>
    <row r="10" spans="2:6" x14ac:dyDescent="0.3">
      <c r="B10" s="21">
        <v>2</v>
      </c>
      <c r="C10" s="22" t="s">
        <v>106</v>
      </c>
      <c r="D10" s="22" t="s">
        <v>107</v>
      </c>
      <c r="E10" s="22">
        <v>100</v>
      </c>
      <c r="F10" s="23" t="s">
        <v>24</v>
      </c>
    </row>
    <row r="11" spans="2:6" x14ac:dyDescent="0.3">
      <c r="B11" s="21">
        <v>2</v>
      </c>
      <c r="C11" s="22" t="s">
        <v>106</v>
      </c>
      <c r="D11" s="22" t="s">
        <v>108</v>
      </c>
      <c r="E11" s="22" t="s">
        <v>109</v>
      </c>
      <c r="F11" s="23" t="s">
        <v>24</v>
      </c>
    </row>
    <row r="12" spans="2:6" x14ac:dyDescent="0.3">
      <c r="B12" s="21">
        <v>2</v>
      </c>
      <c r="C12" s="22" t="s">
        <v>106</v>
      </c>
      <c r="D12" s="22" t="s">
        <v>110</v>
      </c>
      <c r="E12" s="22">
        <v>3.8600000000000003E-6</v>
      </c>
      <c r="F12" s="23" t="s">
        <v>24</v>
      </c>
    </row>
    <row r="13" spans="2:6" x14ac:dyDescent="0.3">
      <c r="B13" s="21">
        <v>2</v>
      </c>
      <c r="C13" s="22" t="s">
        <v>106</v>
      </c>
      <c r="D13" s="22" t="s">
        <v>111</v>
      </c>
      <c r="E13" s="22">
        <v>3.7799999999999998E-6</v>
      </c>
      <c r="F13" s="23" t="s">
        <v>24</v>
      </c>
    </row>
    <row r="14" spans="2:6" x14ac:dyDescent="0.3">
      <c r="B14" s="21">
        <v>2</v>
      </c>
      <c r="C14" s="22" t="s">
        <v>106</v>
      </c>
      <c r="D14" s="22" t="s">
        <v>112</v>
      </c>
      <c r="E14" s="22">
        <v>3.6600000000000001E-6</v>
      </c>
      <c r="F14" s="23" t="s">
        <v>24</v>
      </c>
    </row>
    <row r="15" spans="2:6" x14ac:dyDescent="0.3">
      <c r="B15" s="21">
        <v>2</v>
      </c>
      <c r="C15" s="22" t="s">
        <v>106</v>
      </c>
      <c r="D15" s="22" t="s">
        <v>113</v>
      </c>
      <c r="E15" s="22">
        <v>4.6999999999999999E-6</v>
      </c>
      <c r="F15" s="23" t="s">
        <v>24</v>
      </c>
    </row>
    <row r="16" spans="2:6" x14ac:dyDescent="0.3">
      <c r="B16" s="21">
        <v>2</v>
      </c>
      <c r="C16" s="22" t="s">
        <v>106</v>
      </c>
      <c r="D16" s="22" t="s">
        <v>114</v>
      </c>
      <c r="E16" s="22">
        <v>9524025.7817439195</v>
      </c>
      <c r="F16" s="23" t="s">
        <v>24</v>
      </c>
    </row>
    <row r="17" spans="2:18" x14ac:dyDescent="0.3">
      <c r="B17" s="21">
        <v>2</v>
      </c>
      <c r="C17" s="22" t="s">
        <v>106</v>
      </c>
      <c r="D17" s="22" t="s">
        <v>115</v>
      </c>
      <c r="E17" s="22">
        <v>3.8700000000000002E-6</v>
      </c>
      <c r="F17" s="23" t="s">
        <v>24</v>
      </c>
    </row>
    <row r="18" spans="2:18" x14ac:dyDescent="0.3">
      <c r="B18" s="21">
        <v>2</v>
      </c>
      <c r="C18" s="22" t="s">
        <v>106</v>
      </c>
      <c r="D18" s="22" t="s">
        <v>116</v>
      </c>
      <c r="E18" s="22">
        <v>82909792.148581594</v>
      </c>
      <c r="F18" s="23" t="s">
        <v>24</v>
      </c>
    </row>
    <row r="19" spans="2:18" x14ac:dyDescent="0.3">
      <c r="B19" s="21">
        <v>2</v>
      </c>
      <c r="C19" s="22" t="s">
        <v>106</v>
      </c>
      <c r="D19" s="22" t="s">
        <v>117</v>
      </c>
      <c r="E19" s="22">
        <v>31725991.532281999</v>
      </c>
      <c r="F19" s="23" t="s">
        <v>24</v>
      </c>
    </row>
    <row r="20" spans="2:18" x14ac:dyDescent="0.3">
      <c r="B20" s="21">
        <v>2</v>
      </c>
      <c r="C20" s="22" t="s">
        <v>106</v>
      </c>
      <c r="D20" s="22" t="s">
        <v>118</v>
      </c>
      <c r="E20" s="22">
        <v>-16.77</v>
      </c>
      <c r="F20" s="23" t="s">
        <v>24</v>
      </c>
    </row>
    <row r="21" spans="2:18" x14ac:dyDescent="0.3">
      <c r="B21" s="21">
        <v>2</v>
      </c>
      <c r="C21" s="22" t="s">
        <v>106</v>
      </c>
      <c r="D21" s="22" t="s">
        <v>119</v>
      </c>
      <c r="E21" s="22">
        <v>4.6500000000000004E-6</v>
      </c>
      <c r="F21" s="23" t="s">
        <v>24</v>
      </c>
    </row>
    <row r="22" spans="2:18" x14ac:dyDescent="0.3">
      <c r="B22" s="21">
        <v>2</v>
      </c>
      <c r="C22" s="22" t="s">
        <v>106</v>
      </c>
      <c r="D22" s="22" t="s">
        <v>120</v>
      </c>
      <c r="E22" s="22">
        <v>3.8700000000000002E-6</v>
      </c>
      <c r="F22" s="23" t="s">
        <v>24</v>
      </c>
    </row>
    <row r="23" spans="2:18" x14ac:dyDescent="0.3">
      <c r="B23" s="21">
        <v>2</v>
      </c>
      <c r="C23" s="22" t="s">
        <v>106</v>
      </c>
      <c r="D23" s="22" t="s">
        <v>121</v>
      </c>
      <c r="E23" s="22">
        <v>40.124879909999997</v>
      </c>
      <c r="F23" s="23" t="s">
        <v>24</v>
      </c>
    </row>
    <row r="24" spans="2:18" x14ac:dyDescent="0.3">
      <c r="B24" s="21">
        <v>2</v>
      </c>
      <c r="C24" s="22" t="s">
        <v>106</v>
      </c>
      <c r="D24" s="22" t="s">
        <v>122</v>
      </c>
      <c r="E24" s="22">
        <v>50.745885250000001</v>
      </c>
      <c r="F24" s="23" t="s">
        <v>24</v>
      </c>
    </row>
    <row r="25" spans="2:18" x14ac:dyDescent="0.3">
      <c r="B25" s="21">
        <v>2</v>
      </c>
      <c r="C25" s="22" t="s">
        <v>106</v>
      </c>
      <c r="D25" s="22" t="s">
        <v>123</v>
      </c>
      <c r="E25" s="22">
        <v>512228520.15282297</v>
      </c>
      <c r="F25" s="23" t="s">
        <v>24</v>
      </c>
    </row>
    <row r="26" spans="2:18" ht="15" thickBot="1" x14ac:dyDescent="0.35">
      <c r="B26" s="6">
        <v>1</v>
      </c>
      <c r="C26" s="7" t="s">
        <v>21</v>
      </c>
      <c r="D26" s="7" t="s">
        <v>124</v>
      </c>
      <c r="E26" s="7"/>
      <c r="F26" s="8" t="s">
        <v>24</v>
      </c>
    </row>
    <row r="29" spans="2:18" ht="15" thickBot="1" x14ac:dyDescent="0.35">
      <c r="B29" s="18" t="s">
        <v>26</v>
      </c>
      <c r="C29" s="19"/>
      <c r="D29" s="19"/>
    </row>
    <row r="30" spans="2:18" x14ac:dyDescent="0.3">
      <c r="B30" s="27" t="s">
        <v>1</v>
      </c>
      <c r="C30" s="28" t="s">
        <v>107</v>
      </c>
      <c r="D30" s="28" t="s">
        <v>108</v>
      </c>
      <c r="E30" s="28" t="s">
        <v>110</v>
      </c>
      <c r="F30" s="4" t="s">
        <v>111</v>
      </c>
      <c r="G30" s="4" t="s">
        <v>112</v>
      </c>
      <c r="H30" s="4" t="s">
        <v>113</v>
      </c>
      <c r="I30" s="4" t="s">
        <v>114</v>
      </c>
      <c r="J30" s="4" t="s">
        <v>115</v>
      </c>
      <c r="K30" s="4" t="s">
        <v>116</v>
      </c>
      <c r="L30" s="4" t="s">
        <v>117</v>
      </c>
      <c r="M30" s="4" t="s">
        <v>118</v>
      </c>
      <c r="N30" s="4" t="s">
        <v>119</v>
      </c>
      <c r="O30" s="4" t="s">
        <v>120</v>
      </c>
      <c r="P30" s="4" t="s">
        <v>121</v>
      </c>
      <c r="Q30" s="4" t="s">
        <v>122</v>
      </c>
      <c r="R30" s="5" t="s">
        <v>123</v>
      </c>
    </row>
    <row r="31" spans="2:18" ht="15" thickBot="1" x14ac:dyDescent="0.35">
      <c r="B31" s="6" t="s">
        <v>106</v>
      </c>
      <c r="C31" s="7">
        <v>100</v>
      </c>
      <c r="D31" s="7" t="s">
        <v>109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8" t="s">
        <v>135</v>
      </c>
      <c r="C34" s="18"/>
      <c r="D34" s="18"/>
    </row>
    <row r="35" spans="2:14" x14ac:dyDescent="0.3">
      <c r="B35" t="s">
        <v>1</v>
      </c>
      <c r="C35" t="s">
        <v>6</v>
      </c>
      <c r="D35" t="s">
        <v>125</v>
      </c>
      <c r="E35" t="s">
        <v>126</v>
      </c>
      <c r="F35" t="s">
        <v>127</v>
      </c>
      <c r="G35" t="s">
        <v>62</v>
      </c>
      <c r="H35" t="s">
        <v>128</v>
      </c>
      <c r="I35" t="s">
        <v>129</v>
      </c>
      <c r="J35" t="s">
        <v>130</v>
      </c>
      <c r="K35" t="s">
        <v>131</v>
      </c>
      <c r="L35" t="s">
        <v>132</v>
      </c>
      <c r="M35" t="s">
        <v>133</v>
      </c>
      <c r="N35" t="s">
        <v>134</v>
      </c>
    </row>
    <row r="36" spans="2:14" x14ac:dyDescent="0.3">
      <c r="B36" t="b">
        <v>0</v>
      </c>
      <c r="C36" t="s">
        <v>136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F38"/>
  <sheetViews>
    <sheetView tabSelected="1" workbookViewId="0">
      <selection activeCell="C3" sqref="C3"/>
    </sheetView>
  </sheetViews>
  <sheetFormatPr defaultRowHeight="14.4" x14ac:dyDescent="0.3"/>
  <cols>
    <col min="1" max="1" width="4.88671875" customWidth="1"/>
    <col min="2" max="2" width="13.6640625" bestFit="1" customWidth="1"/>
    <col min="3" max="3" width="18.21875" bestFit="1" customWidth="1"/>
    <col min="5" max="5" width="14.109375" customWidth="1"/>
    <col min="11" max="11" width="20" customWidth="1"/>
    <col min="12" max="12" width="14.6640625" bestFit="1" customWidth="1"/>
    <col min="22" max="22" width="9.6640625" customWidth="1"/>
    <col min="84" max="84" width="10.77734375" customWidth="1"/>
  </cols>
  <sheetData>
    <row r="1" spans="2:6" x14ac:dyDescent="0.3">
      <c r="B1" s="36"/>
    </row>
    <row r="2" spans="2:6" x14ac:dyDescent="0.3">
      <c r="B2" s="1" t="s">
        <v>68</v>
      </c>
      <c r="C2" s="2" t="s">
        <v>29</v>
      </c>
    </row>
    <row r="3" spans="2:6" x14ac:dyDescent="0.3">
      <c r="B3" s="1" t="s">
        <v>69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137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137</v>
      </c>
      <c r="D8" s="22" t="s">
        <v>32</v>
      </c>
      <c r="E8" s="22">
        <v>9.9999000000000005E-2</v>
      </c>
      <c r="F8" s="23" t="s">
        <v>24</v>
      </c>
    </row>
    <row r="9" spans="2:6" x14ac:dyDescent="0.3">
      <c r="B9" s="21">
        <v>2</v>
      </c>
      <c r="C9" s="22" t="s">
        <v>137</v>
      </c>
      <c r="D9" s="22" t="s">
        <v>33</v>
      </c>
      <c r="E9" s="22">
        <v>9.3010209999999996E-2</v>
      </c>
      <c r="F9" s="23" t="s">
        <v>24</v>
      </c>
    </row>
    <row r="10" spans="2:6" x14ac:dyDescent="0.3">
      <c r="B10" s="21">
        <v>2</v>
      </c>
      <c r="C10" s="22" t="s">
        <v>137</v>
      </c>
      <c r="D10" s="22" t="s">
        <v>34</v>
      </c>
      <c r="E10" s="22">
        <v>9.6504604999999993E-2</v>
      </c>
      <c r="F10" s="23" t="s">
        <v>24</v>
      </c>
    </row>
    <row r="11" spans="2:6" x14ac:dyDescent="0.3">
      <c r="B11" s="21">
        <v>2</v>
      </c>
      <c r="C11" s="22" t="s">
        <v>137</v>
      </c>
      <c r="D11" s="22" t="s">
        <v>35</v>
      </c>
      <c r="E11" s="22">
        <v>284.69788614322698</v>
      </c>
      <c r="F11" s="23" t="s">
        <v>24</v>
      </c>
    </row>
    <row r="12" spans="2:6" x14ac:dyDescent="0.3">
      <c r="B12" s="21">
        <v>2</v>
      </c>
      <c r="C12" s="22" t="s">
        <v>137</v>
      </c>
      <c r="D12" s="22" t="s">
        <v>36</v>
      </c>
      <c r="E12" s="22">
        <v>2934.87185138</v>
      </c>
      <c r="F12" s="23" t="s">
        <v>24</v>
      </c>
    </row>
    <row r="13" spans="2:6" x14ac:dyDescent="0.3">
      <c r="B13" s="21">
        <v>2</v>
      </c>
      <c r="C13" s="22" t="s">
        <v>137</v>
      </c>
      <c r="D13" s="22" t="s">
        <v>37</v>
      </c>
      <c r="E13" s="22">
        <v>9.7617599999999999E-2</v>
      </c>
      <c r="F13" s="23" t="s">
        <v>24</v>
      </c>
    </row>
    <row r="14" spans="2:6" x14ac:dyDescent="0.3">
      <c r="B14" s="21">
        <v>2</v>
      </c>
      <c r="C14" s="22" t="s">
        <v>137</v>
      </c>
      <c r="D14" s="22" t="s">
        <v>38</v>
      </c>
      <c r="E14" s="22">
        <v>9.7509750000000006E-2</v>
      </c>
      <c r="F14" s="23" t="s">
        <v>24</v>
      </c>
    </row>
    <row r="15" spans="2:6" x14ac:dyDescent="0.3">
      <c r="B15" s="21">
        <v>2</v>
      </c>
      <c r="C15" s="22" t="s">
        <v>137</v>
      </c>
      <c r="D15" s="22" t="s">
        <v>39</v>
      </c>
      <c r="E15" s="22">
        <v>9.7725380000000001E-2</v>
      </c>
      <c r="F15" s="23" t="s">
        <v>24</v>
      </c>
    </row>
    <row r="16" spans="2:6" x14ac:dyDescent="0.3">
      <c r="B16" s="21">
        <v>2</v>
      </c>
      <c r="C16" s="22" t="s">
        <v>137</v>
      </c>
      <c r="D16" s="22" t="s">
        <v>40</v>
      </c>
      <c r="E16" s="22">
        <v>1515943312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138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138</v>
      </c>
      <c r="D18" s="22" t="s">
        <v>32</v>
      </c>
      <c r="E18" s="22">
        <v>4.8683E-4</v>
      </c>
      <c r="F18" s="23" t="s">
        <v>24</v>
      </c>
    </row>
    <row r="19" spans="2:12" x14ac:dyDescent="0.3">
      <c r="B19" s="21">
        <v>2</v>
      </c>
      <c r="C19" s="22" t="s">
        <v>138</v>
      </c>
      <c r="D19" s="22" t="s">
        <v>33</v>
      </c>
      <c r="E19" s="22">
        <v>3.6485000000000001E-4</v>
      </c>
      <c r="F19" s="23" t="s">
        <v>24</v>
      </c>
    </row>
    <row r="20" spans="2:12" x14ac:dyDescent="0.3">
      <c r="B20" s="21">
        <v>2</v>
      </c>
      <c r="C20" s="22" t="s">
        <v>138</v>
      </c>
      <c r="D20" s="22" t="s">
        <v>34</v>
      </c>
      <c r="E20" s="22">
        <v>4.2583999999999998E-4</v>
      </c>
      <c r="F20" s="23" t="s">
        <v>24</v>
      </c>
    </row>
    <row r="21" spans="2:12" x14ac:dyDescent="0.3">
      <c r="B21" s="21">
        <v>2</v>
      </c>
      <c r="C21" s="22" t="s">
        <v>138</v>
      </c>
      <c r="D21" s="22" t="s">
        <v>35</v>
      </c>
      <c r="E21" s="22">
        <v>21.699979709073698</v>
      </c>
      <c r="F21" s="23" t="s">
        <v>24</v>
      </c>
    </row>
    <row r="22" spans="2:12" x14ac:dyDescent="0.3">
      <c r="B22" s="21">
        <v>2</v>
      </c>
      <c r="C22" s="22" t="s">
        <v>138</v>
      </c>
      <c r="D22" s="22" t="s">
        <v>36</v>
      </c>
      <c r="E22" s="22">
        <v>52914.84811182</v>
      </c>
      <c r="F22" s="23" t="s">
        <v>24</v>
      </c>
    </row>
    <row r="23" spans="2:12" x14ac:dyDescent="0.3">
      <c r="B23" s="21">
        <v>2</v>
      </c>
      <c r="C23" s="22" t="s">
        <v>138</v>
      </c>
      <c r="D23" s="22" t="s">
        <v>37</v>
      </c>
      <c r="E23" s="22">
        <v>3.8959999999999998E-4</v>
      </c>
      <c r="F23" s="23" t="s">
        <v>24</v>
      </c>
    </row>
    <row r="24" spans="2:12" x14ac:dyDescent="0.3">
      <c r="B24" s="21">
        <v>2</v>
      </c>
      <c r="C24" s="22" t="s">
        <v>138</v>
      </c>
      <c r="D24" s="22" t="s">
        <v>38</v>
      </c>
      <c r="E24" s="22">
        <v>3.8787000000000001E-4</v>
      </c>
      <c r="F24" s="23" t="s">
        <v>24</v>
      </c>
    </row>
    <row r="25" spans="2:12" x14ac:dyDescent="0.3">
      <c r="B25" s="21">
        <v>2</v>
      </c>
      <c r="C25" s="22" t="s">
        <v>138</v>
      </c>
      <c r="D25" s="22" t="s">
        <v>39</v>
      </c>
      <c r="E25" s="22">
        <v>3.9127999999999998E-4</v>
      </c>
      <c r="F25" s="23" t="s">
        <v>24</v>
      </c>
    </row>
    <row r="26" spans="2:12" ht="15" thickBot="1" x14ac:dyDescent="0.35">
      <c r="B26" s="6">
        <v>2</v>
      </c>
      <c r="C26" s="7" t="s">
        <v>138</v>
      </c>
      <c r="D26" s="7" t="s">
        <v>40</v>
      </c>
      <c r="E26" s="7">
        <v>1515943312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32</v>
      </c>
      <c r="D30" s="28" t="s">
        <v>33</v>
      </c>
      <c r="E30" s="28" t="s">
        <v>34</v>
      </c>
      <c r="F30" s="28" t="s">
        <v>35</v>
      </c>
      <c r="G30" s="28" t="s">
        <v>36</v>
      </c>
      <c r="H30" s="28" t="s">
        <v>37</v>
      </c>
      <c r="I30" s="28" t="s">
        <v>38</v>
      </c>
      <c r="J30" s="28" t="s">
        <v>39</v>
      </c>
      <c r="K30" s="29" t="s">
        <v>40</v>
      </c>
      <c r="L30" s="32" t="s">
        <v>42</v>
      </c>
    </row>
    <row r="31" spans="2:12" x14ac:dyDescent="0.3">
      <c r="B31" s="21" t="s">
        <v>137</v>
      </c>
      <c r="C31" s="22">
        <v>9.9999000000000005E-2</v>
      </c>
      <c r="D31" s="22">
        <v>9.3010209999999996E-2</v>
      </c>
      <c r="E31" s="22">
        <v>9.6504604999999993E-2</v>
      </c>
      <c r="F31" s="22">
        <v>284.69788614322698</v>
      </c>
      <c r="G31" s="22">
        <v>2934.87185138</v>
      </c>
      <c r="H31" s="22">
        <v>9.7617599999999999E-2</v>
      </c>
      <c r="I31" s="22">
        <v>9.7509750000000006E-2</v>
      </c>
      <c r="J31" s="22">
        <v>9.7725380000000001E-2</v>
      </c>
      <c r="K31" s="23">
        <v>1515943312</v>
      </c>
      <c r="L31" s="33">
        <f>UnixTimeToDate(K31)</f>
        <v>43114.640185185184</v>
      </c>
    </row>
    <row r="32" spans="2:12" ht="15" thickBot="1" x14ac:dyDescent="0.35">
      <c r="B32" s="6" t="s">
        <v>138</v>
      </c>
      <c r="C32" s="7">
        <v>4.8683E-4</v>
      </c>
      <c r="D32" s="7">
        <v>3.6485000000000001E-4</v>
      </c>
      <c r="E32" s="7">
        <v>4.2583999999999998E-4</v>
      </c>
      <c r="F32" s="7">
        <v>21.699979709073698</v>
      </c>
      <c r="G32" s="7">
        <v>52914.84811182</v>
      </c>
      <c r="H32" s="7">
        <v>3.8959999999999998E-4</v>
      </c>
      <c r="I32" s="7">
        <v>3.8787000000000001E-4</v>
      </c>
      <c r="J32" s="7">
        <v>3.9127999999999998E-4</v>
      </c>
      <c r="K32" s="8">
        <v>1515943312</v>
      </c>
      <c r="L32" s="34">
        <f>UnixTimeToDate(K32)</f>
        <v>43114.640185185184</v>
      </c>
    </row>
    <row r="35" spans="2:84" x14ac:dyDescent="0.3">
      <c r="B35" s="18" t="s">
        <v>221</v>
      </c>
      <c r="C35" s="19"/>
      <c r="D35" s="19"/>
    </row>
    <row r="36" spans="2:84" x14ac:dyDescent="0.3">
      <c r="B36" t="s">
        <v>1</v>
      </c>
      <c r="C36" t="s">
        <v>6</v>
      </c>
      <c r="D36" t="s">
        <v>139</v>
      </c>
      <c r="E36" t="s">
        <v>140</v>
      </c>
      <c r="F36" t="s">
        <v>141</v>
      </c>
      <c r="G36" t="s">
        <v>142</v>
      </c>
      <c r="H36" t="s">
        <v>143</v>
      </c>
      <c r="I36" t="s">
        <v>144</v>
      </c>
      <c r="J36" t="s">
        <v>145</v>
      </c>
      <c r="K36" t="s">
        <v>146</v>
      </c>
      <c r="L36" t="s">
        <v>147</v>
      </c>
      <c r="M36" t="s">
        <v>148</v>
      </c>
      <c r="N36" t="s">
        <v>149</v>
      </c>
      <c r="O36" t="s">
        <v>150</v>
      </c>
      <c r="P36" t="s">
        <v>151</v>
      </c>
      <c r="Q36" t="s">
        <v>152</v>
      </c>
      <c r="R36" t="s">
        <v>153</v>
      </c>
      <c r="S36" t="s">
        <v>154</v>
      </c>
      <c r="T36" t="s">
        <v>155</v>
      </c>
      <c r="U36" t="s">
        <v>156</v>
      </c>
      <c r="V36" t="s">
        <v>157</v>
      </c>
      <c r="W36" t="s">
        <v>158</v>
      </c>
      <c r="X36" t="s">
        <v>159</v>
      </c>
      <c r="Y36" t="s">
        <v>160</v>
      </c>
      <c r="Z36" t="s">
        <v>9</v>
      </c>
      <c r="AA36" t="s">
        <v>161</v>
      </c>
      <c r="AB36" t="s">
        <v>162</v>
      </c>
      <c r="AC36" t="s">
        <v>163</v>
      </c>
      <c r="AD36" t="s">
        <v>164</v>
      </c>
      <c r="AE36" t="s">
        <v>165</v>
      </c>
      <c r="AF36" t="s">
        <v>166</v>
      </c>
      <c r="AG36" t="s">
        <v>167</v>
      </c>
      <c r="AH36" t="s">
        <v>168</v>
      </c>
      <c r="AI36" t="s">
        <v>169</v>
      </c>
      <c r="AJ36" t="s">
        <v>170</v>
      </c>
      <c r="AK36" t="s">
        <v>171</v>
      </c>
      <c r="AL36" t="s">
        <v>172</v>
      </c>
      <c r="AM36" t="s">
        <v>173</v>
      </c>
      <c r="AN36" t="s">
        <v>174</v>
      </c>
      <c r="AO36" t="s">
        <v>175</v>
      </c>
      <c r="AP36" t="s">
        <v>176</v>
      </c>
      <c r="AQ36" t="s">
        <v>177</v>
      </c>
      <c r="AR36" t="s">
        <v>178</v>
      </c>
      <c r="AS36" t="s">
        <v>179</v>
      </c>
      <c r="AT36" t="s">
        <v>180</v>
      </c>
      <c r="AU36" t="s">
        <v>181</v>
      </c>
      <c r="AV36" t="s">
        <v>182</v>
      </c>
      <c r="AW36" t="s">
        <v>183</v>
      </c>
      <c r="AX36" t="s">
        <v>184</v>
      </c>
      <c r="AY36" t="s">
        <v>185</v>
      </c>
      <c r="AZ36" t="s">
        <v>186</v>
      </c>
      <c r="BA36" t="s">
        <v>187</v>
      </c>
      <c r="BB36" t="s">
        <v>188</v>
      </c>
      <c r="BC36" t="s">
        <v>189</v>
      </c>
      <c r="BD36" t="s">
        <v>190</v>
      </c>
      <c r="BE36" t="s">
        <v>191</v>
      </c>
      <c r="BF36" t="s">
        <v>192</v>
      </c>
      <c r="BG36" t="s">
        <v>193</v>
      </c>
      <c r="BH36" t="s">
        <v>194</v>
      </c>
      <c r="BI36" t="s">
        <v>195</v>
      </c>
      <c r="BJ36" t="s">
        <v>196</v>
      </c>
      <c r="BK36" t="s">
        <v>197</v>
      </c>
      <c r="BL36" t="s">
        <v>198</v>
      </c>
      <c r="BM36" t="s">
        <v>199</v>
      </c>
      <c r="BN36" t="s">
        <v>200</v>
      </c>
      <c r="BO36" t="s">
        <v>201</v>
      </c>
      <c r="BP36" t="s">
        <v>202</v>
      </c>
      <c r="BQ36" t="s">
        <v>203</v>
      </c>
      <c r="BR36" t="s">
        <v>204</v>
      </c>
      <c r="BS36" t="s">
        <v>205</v>
      </c>
      <c r="BT36" t="s">
        <v>206</v>
      </c>
      <c r="BU36" t="s">
        <v>207</v>
      </c>
      <c r="BV36" t="s">
        <v>208</v>
      </c>
      <c r="BW36" t="s">
        <v>209</v>
      </c>
      <c r="BX36" t="s">
        <v>210</v>
      </c>
      <c r="BY36" t="s">
        <v>211</v>
      </c>
      <c r="BZ36" t="s">
        <v>212</v>
      </c>
      <c r="CA36" t="s">
        <v>213</v>
      </c>
      <c r="CB36" t="s">
        <v>214</v>
      </c>
      <c r="CC36" t="s">
        <v>215</v>
      </c>
      <c r="CD36" t="s">
        <v>216</v>
      </c>
      <c r="CE36" t="s">
        <v>217</v>
      </c>
      <c r="CF36" t="s">
        <v>218</v>
      </c>
    </row>
    <row r="37" spans="2:84" x14ac:dyDescent="0.3">
      <c r="B37" t="s">
        <v>43</v>
      </c>
      <c r="C37" t="s">
        <v>219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500</v>
      </c>
      <c r="BY37">
        <v>0</v>
      </c>
      <c r="BZ37">
        <v>0</v>
      </c>
      <c r="CA37">
        <v>0</v>
      </c>
      <c r="CB37">
        <v>0</v>
      </c>
      <c r="CC37">
        <v>0</v>
      </c>
    </row>
    <row r="38" spans="2:84" x14ac:dyDescent="0.3">
      <c r="B38" t="s">
        <v>43</v>
      </c>
      <c r="C38" t="s">
        <v>220</v>
      </c>
      <c r="D38">
        <v>0</v>
      </c>
      <c r="CD38" t="b">
        <v>1</v>
      </c>
      <c r="CE38" t="b">
        <v>1</v>
      </c>
      <c r="CF38" t="b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B2" sqref="B2:C5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72</v>
      </c>
      <c r="C2" s="2" t="s">
        <v>29</v>
      </c>
    </row>
    <row r="3" spans="2:3" x14ac:dyDescent="0.3">
      <c r="B3" s="1" t="s">
        <v>73</v>
      </c>
      <c r="C3" s="2" t="s">
        <v>30</v>
      </c>
    </row>
    <row r="5" spans="2:3" x14ac:dyDescent="0.3">
      <c r="C5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18</vt:i4>
      </vt:variant>
    </vt:vector>
  </HeadingPairs>
  <TitlesOfParts>
    <vt:vector size="26" baseType="lpstr">
      <vt:lpstr>KRAKEN</vt:lpstr>
      <vt:lpstr>Bittrex</vt:lpstr>
      <vt:lpstr>Binance</vt:lpstr>
      <vt:lpstr>Poloniex</vt:lpstr>
      <vt:lpstr>WEXnz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apikey_liqui</vt:lpstr>
      <vt:lpstr>apikey_poloniex</vt:lpstr>
      <vt:lpstr>apikey_wexnz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2018-01-15T15:35:03Z</dcterms:modified>
</cp:coreProperties>
</file>