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760C4C40-E683-4D04-9CDB-9E274AFBC177}" xr6:coauthVersionLast="40" xr6:coauthVersionMax="40" xr10:uidLastSave="{00000000-0000-0000-0000-000000000000}"/>
  <bookViews>
    <workbookView xWindow="-108" yWindow="-108" windowWidth="23256" windowHeight="12576" tabRatio="669" firstSheet="1" activeTab="8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trex" sheetId="3" r:id="rId5"/>
    <sheet name="Coinone" sheetId="6" r:id="rId6"/>
    <sheet name="Coinspot" sheetId="13" r:id="rId7"/>
    <sheet name="Cryptopia" sheetId="7" r:id="rId8"/>
    <sheet name="HitBTC" sheetId="14" r:id="rId9"/>
    <sheet name="Kraken" sheetId="1" r:id="rId10"/>
    <sheet name="Kucoin" sheetId="10" r:id="rId11"/>
    <sheet name="Poloniex" sheetId="4" r:id="rId12"/>
  </sheets>
  <functionGroups builtInGroupCount="19"/>
  <definedNames>
    <definedName name="apikey_binance">Binance!$C$2</definedName>
    <definedName name="apikey_bitfinex">Bitfinex!$C$2</definedName>
    <definedName name="apikey_bittrex">Bittrex!$C$2</definedName>
    <definedName name="apikey_btce">#REF!</definedName>
    <definedName name="apikey_coinone">Coinone!$C$2</definedName>
    <definedName name="apikey_coinspot">Coinspot!$C$2</definedName>
    <definedName name="apikey_cryptopia">Cryptopia!$C$2</definedName>
    <definedName name="apikey_kraken">Kraken!$C$2</definedName>
    <definedName name="apikey_kucoin">Kucoin!$C$2</definedName>
    <definedName name="apikey_poloniex">Poloniex!$C$2</definedName>
    <definedName name="apikey_wexnz">#REF!</definedName>
    <definedName name="passphrase_kucoin">Kucoin!$C$4</definedName>
    <definedName name="secretkey_binance">Binance!$C$3</definedName>
    <definedName name="secretkey_bitfinex">Bitfinex!$C$3</definedName>
    <definedName name="secretkey_bittrex">Bittrex!$C$3</definedName>
    <definedName name="secretkey_btce">#REF!</definedName>
    <definedName name="secretkey_coinone">Coinone!$C$3</definedName>
    <definedName name="secretkey_coinspot">Coinspot!$C$3</definedName>
    <definedName name="secretkey_cryptopia">Cryptopia!$C$3</definedName>
    <definedName name="secretkey_kraken">Kraken!$C$3</definedName>
    <definedName name="secretkey_kucoin">Kucoin!$C$3</definedName>
    <definedName name="secretkey_poloniex">Poloniex!$C$3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8" l="1"/>
  <c r="D41" i="9"/>
  <c r="D29" i="9"/>
  <c r="D30" i="9"/>
  <c r="D16" i="9"/>
  <c r="D17" i="9"/>
  <c r="D18" i="9"/>
  <c r="D42" i="9"/>
  <c r="D59" i="9" a="1"/>
  <c r="D72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<sst xmlns="http://schemas.openxmlformats.org/spreadsheetml/2006/main" count="443" uniqueCount="189">
  <si>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</si>
  <si>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</si>
  <si>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</si>
  <si>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</si>
  <si>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</si>
  <si>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</si>
  <si>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</si>
  <si>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</si>
  <si>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</si>
  <si>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</si>
  <si>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</si>
  <si>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</si>
  <si>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</si>
  <si>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</si>
  <si>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</si>
  <si>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</si>
  <si>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</si>
  <si>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</si>
  <si>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</si>
  <si>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</si>
  <si>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</si>
  <si>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</si>
  <si>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</si>
  <si>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</si>
  <si>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</si>
  <si>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</si>
  <si>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</si>
  <si>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high</t>
  </si>
  <si>
    <t>low</t>
  </si>
  <si>
    <t>vol</t>
  </si>
  <si>
    <t>last</t>
  </si>
  <si>
    <t>buy</t>
  </si>
  <si>
    <t>sell</t>
  </si>
  <si>
    <t>rate</t>
  </si>
  <si>
    <t>date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</si>
  <si>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</si>
  <si>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</si>
  <si>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</si>
  <si>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</si>
  <si>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</si>
  <si>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</si>
  <si>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</si>
  <si>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</si>
  <si>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</si>
  <si>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</si>
  <si>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</si>
  <si>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</si>
  <si>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</si>
  <si>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</si>
  <si>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</si>
  <si>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</si>
  <si>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apikey_coinone</t>
  </si>
  <si>
    <t>secretkey_coinone</t>
  </si>
  <si>
    <t>Work in progress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</si>
  <si>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</si>
  <si>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</si>
  <si>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</si>
  <si>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</si>
  <si>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</si>
  <si>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</si>
  <si>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</si>
  <si>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</si>
  <si>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</si>
  <si>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</si>
  <si>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</si>
  <si>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</si>
  <si>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</si>
  <si>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</si>
  <si>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</si>
  <si>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</si>
  <si>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</si>
  <si>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</si>
  <si>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</si>
  <si>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</si>
  <si>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</si>
  <si>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</si>
  <si>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</si>
  <si>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</si>
  <si>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</si>
  <si>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</si>
  <si>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</si>
  <si>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</si>
  <si>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</si>
  <si>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</si>
  <si>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</si>
  <si>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</si>
  <si>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</si>
  <si>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</si>
  <si>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</si>
  <si>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</si>
  <si>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</si>
  <si>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</si>
  <si>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</si>
  <si>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</si>
  <si>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</si>
  <si>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</si>
  <si>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</si>
  <si>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</si>
  <si>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</si>
  <si>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</si>
  <si>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</si>
  <si>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</si>
  <si>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</si>
  <si>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</si>
  <si>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</si>
  <si>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</si>
  <si>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</si>
  <si>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</si>
  <si>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</si>
  <si>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</si>
  <si>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</si>
  <si>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</si>
  <si>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</si>
  <si>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</si>
  <si>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</si>
  <si>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trade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</si>
  <si>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</si>
  <si>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</si>
  <si>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</si>
  <si>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</si>
  <si>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</si>
  <si>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</si>
  <si>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</si>
  <si>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</si>
  <si>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</si>
  <si>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</si>
  <si>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</si>
  <si>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</si>
  <si>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</si>
  <si>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</si>
  <si>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</si>
  <si>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</si>
  <si>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</si>
  <si>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</si>
  <si>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</si>
  <si>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</si>
  <si>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</si>
  <si>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</si>
  <si>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</si>
  <si>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</si>
  <si>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</si>
  <si>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</si>
  <si>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</si>
  <si>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</si>
  <si>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</si>
  <si>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</si>
  <si>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</si>
  <si>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</si>
  <si>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</si>
  <si>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</si>
  <si>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</si>
  <si>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</si>
  <si>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data</t>
  </si>
  <si>
    <t>coinType</t>
  </si>
  <si>
    <t>KCS</t>
  </si>
  <si>
    <t>symbol</t>
  </si>
  <si>
    <t>changeRate</t>
  </si>
  <si>
    <t>Kucoin Balance</t>
  </si>
  <si>
    <t>balanceStr</t>
  </si>
  <si>
    <t>freezeBalance</t>
  </si>
  <si>
    <t>freezeBalanceStr</t>
  </si>
  <si>
    <t>ZEUR</t>
  </si>
  <si>
    <t>KFEE</t>
  </si>
  <si>
    <t>XXBT</t>
  </si>
  <si>
    <t>Kraken balances</t>
  </si>
  <si>
    <t>Thu,  1 Feb 18 12:15:35 +0000</t>
  </si>
  <si>
    <t>TEST STAGE FUNCTIONS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</si>
  <si>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</si>
  <si>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</si>
  <si>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</si>
  <si>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</si>
  <si>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</si>
  <si>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</si>
  <si>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</si>
  <si>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</si>
  <si>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</si>
  <si>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</si>
  <si>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GAS</t>
  </si>
  <si>
    <t>passphrase_kucoin</t>
  </si>
  <si>
    <t>your passphrase here</t>
  </si>
  <si>
    <t>ETH-BTC</t>
  </si>
  <si>
    <t>changePrice</t>
  </si>
  <si>
    <t>main</t>
  </si>
  <si>
    <t>abc12345</t>
  </si>
  <si>
    <t>apikey_bitfinex</t>
  </si>
  <si>
    <t>secretkey_bitfinex</t>
  </si>
  <si>
    <t>To Do</t>
  </si>
  <si>
    <t>apikey_coinspot</t>
  </si>
  <si>
    <t>secretkey_coinspot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</si>
</sst>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0" xfId="0" quotePrefix="1" applyFont="1" applyFill="1"/>
    <xf numFmtId="0" fontId="0" fillId="3" borderId="0" xfId="0" applyFill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quotePrefix="1"/>
    <xf numFmtId="1" fontId="0" fillId="0" borderId="4" xfId="0" applyNumberFormat="1" applyBorder="1"/>
    <xf numFmtId="0" fontId="0" fillId="0" borderId="9" xfId="0" applyBorder="1"/>
    <xf numFmtId="1" fontId="0" fillId="0" borderId="10" xfId="0" applyNumberFormat="1" applyBorder="1"/>
    <xf numFmtId="1" fontId="0" fillId="0" borderId="6" xfId="0" applyNumberFormat="1" applyBorder="1"/>
    <xf numFmtId="1" fontId="0" fillId="0" borderId="5" xfId="0" applyNumberFormat="1" applyBorder="1"/>
    <xf numFmtId="165" fontId="0" fillId="0" borderId="0" xfId="1" applyNumberFormat="1" applyFont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" fontId="0" fillId="0" borderId="0" xfId="0" applyNumberFormat="1"/>
  </cellXfs>
  <cellStyles count="2">
    <cellStyle name="Komma" xfId="1" builtinId="3"/>
    <cellStyle name="Standaard" xfId="0" builtinId="0"/>
  </cellStyles>
  <dxfs count="1"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29:I34" totalsRowShown="0">
  <autoFilter ref="B29:I34" xr:uid="{499FC7EF-4481-441A-B448-E8ECA033E522}"/>
  <sortState xmlns:xlrd2="http://schemas.microsoft.com/office/spreadsheetml/2017/richdata2" ref="B30:I30">
    <sortCondition descending="1" ref="F29:F30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0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27" t="s">
        <v>166</v>
      </c>
    </row>
    <row r="3" spans="2:10" x14ac:dyDescent="0.3">
      <c r="B3" t="s">
        <v>119</v>
      </c>
    </row>
    <row r="4" spans="2:10" x14ac:dyDescent="0.3">
      <c r="B4" t="s">
        <v>120</v>
      </c>
    </row>
    <row r="5" spans="2:10" x14ac:dyDescent="0.3">
      <c r="B5" t="s">
        <v>126</v>
      </c>
    </row>
    <row r="6" spans="2:10" x14ac:dyDescent="0.3">
      <c r="B6" t="s">
        <v>125</v>
      </c>
    </row>
    <row r="8" spans="2:10" x14ac:dyDescent="0.3">
      <c r="B8" s="11" t="s">
        <v>118</v>
      </c>
      <c r="C8" s="12"/>
      <c r="D8" s="12"/>
      <c r="E8" s="12"/>
      <c r="F8" s="12"/>
      <c r="G8" s="12"/>
      <c r="H8" s="12"/>
      <c r="I8" s="12"/>
      <c r="J8" s="12"/>
    </row>
    <row r="9" spans="2:10" x14ac:dyDescent="0.3">
      <c r="B9" t="s">
        <v>124</v>
      </c>
    </row>
    <row r="10" spans="2:10" x14ac:dyDescent="0.3">
      <c r="C10" t="s">
        <v>127</v>
      </c>
    </row>
    <row r="11" spans="2:10" x14ac:dyDescent="0.3">
      <c r="C11" s="1" t="s">
        <v>128</v>
      </c>
    </row>
    <row r="12" spans="2:10" x14ac:dyDescent="0.3">
      <c r="C12" s="1" t="s">
        <v>129</v>
      </c>
    </row>
    <row r="13" spans="2:10" x14ac:dyDescent="0.3">
      <c r="C13" s="1" t="s">
        <v>130</v>
      </c>
    </row>
    <row r="15" spans="2:10" x14ac:dyDescent="0.3">
      <c r="C15" s="28" t="s">
        <v>132</v>
      </c>
    </row>
    <row r="16" spans="2:10" x14ac:dyDescent="0.3">
      <c r="C16" s="1" t="s">
        <v>131</v>
      </c>
      <c r="D16" s="29">
        <f ca="1">C_LAST_PRICE("ETH","EUR")</f>
        <v>118.97</v>
      </c>
    </row>
    <row r="17" spans="2:10" x14ac:dyDescent="0.3">
      <c r="C17" s="1" t="s">
        <v>133</v>
      </c>
      <c r="D17" s="30">
        <f ca="1">C_LAST_PRICE("XLM","BTC","Kraken")</f>
        <v>2.6089999999999999E-5</v>
      </c>
    </row>
    <row r="18" spans="2:10" x14ac:dyDescent="0.3">
      <c r="C18" s="1" t="s">
        <v>134</v>
      </c>
      <c r="D18" s="29" t="str">
        <f ca="1">C_LAST_PRICE("BTC","XLM","Kraken")</f>
        <v>ERROR Kraken market does not exist for this coin pair (BTC-XLM)</v>
      </c>
    </row>
    <row r="20" spans="2:10" x14ac:dyDescent="0.3">
      <c r="B20" s="11" t="s">
        <v>121</v>
      </c>
      <c r="C20" s="12"/>
      <c r="D20" s="12"/>
      <c r="E20" s="12"/>
      <c r="F20" s="12"/>
      <c r="G20" s="12"/>
      <c r="H20" s="12"/>
      <c r="I20" s="12"/>
      <c r="J20" s="12"/>
    </row>
    <row r="21" spans="2:10" x14ac:dyDescent="0.3">
      <c r="B21" t="s">
        <v>138</v>
      </c>
    </row>
    <row r="22" spans="2:10" x14ac:dyDescent="0.3">
      <c r="C22" t="s">
        <v>127</v>
      </c>
    </row>
    <row r="23" spans="2:10" x14ac:dyDescent="0.3">
      <c r="C23" s="1" t="s">
        <v>128</v>
      </c>
    </row>
    <row r="24" spans="2:10" x14ac:dyDescent="0.3">
      <c r="C24" s="1" t="s">
        <v>129</v>
      </c>
    </row>
    <row r="25" spans="2:10" x14ac:dyDescent="0.3">
      <c r="C25" s="1" t="s">
        <v>136</v>
      </c>
    </row>
    <row r="26" spans="2:10" x14ac:dyDescent="0.3">
      <c r="C26" s="1" t="s">
        <v>130</v>
      </c>
    </row>
    <row r="28" spans="2:10" x14ac:dyDescent="0.3">
      <c r="C28" s="28" t="s">
        <v>132</v>
      </c>
    </row>
    <row r="29" spans="2:10" x14ac:dyDescent="0.3">
      <c r="C29" s="1" t="s">
        <v>135</v>
      </c>
      <c r="D29" s="29">
        <f ca="1">C_HIST_PRICE("XMR","EUR",DATE(2018,1,1))</f>
        <v>288.55</v>
      </c>
    </row>
    <row r="30" spans="2:10" x14ac:dyDescent="0.3">
      <c r="C30" s="1" t="s">
        <v>137</v>
      </c>
      <c r="D30" s="29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1" t="s">
        <v>122</v>
      </c>
      <c r="C32" s="12"/>
      <c r="D32" s="12"/>
      <c r="E32" s="12"/>
      <c r="F32" s="12"/>
      <c r="G32" s="12"/>
      <c r="H32" s="12"/>
      <c r="I32" s="12"/>
      <c r="J32" s="12"/>
    </row>
    <row r="33" spans="2:10" x14ac:dyDescent="0.3">
      <c r="B33" t="s">
        <v>139</v>
      </c>
    </row>
    <row r="34" spans="2:10" x14ac:dyDescent="0.3">
      <c r="C34" t="s">
        <v>127</v>
      </c>
    </row>
    <row r="35" spans="2:10" x14ac:dyDescent="0.3">
      <c r="C35" s="1" t="s">
        <v>128</v>
      </c>
    </row>
    <row r="36" spans="2:10" x14ac:dyDescent="0.3">
      <c r="C36" s="1" t="s">
        <v>129</v>
      </c>
    </row>
    <row r="37" spans="2:10" x14ac:dyDescent="0.3">
      <c r="C37" s="1" t="s">
        <v>136</v>
      </c>
    </row>
    <row r="38" spans="2:10" x14ac:dyDescent="0.3">
      <c r="C38" s="1" t="s">
        <v>130</v>
      </c>
    </row>
    <row r="40" spans="2:10" x14ac:dyDescent="0.3">
      <c r="C40" s="28" t="s">
        <v>132</v>
      </c>
    </row>
    <row r="41" spans="2:10" x14ac:dyDescent="0.3">
      <c r="C41" s="1" t="s">
        <v>141</v>
      </c>
      <c r="D41" s="29">
        <f ca="1">C_DAY_AVG_PRICE("XMR","EUR","2017/07/01")</f>
        <v>36.47</v>
      </c>
    </row>
    <row r="42" spans="2:10" x14ac:dyDescent="0.3">
      <c r="C42" s="1" t="s">
        <v>140</v>
      </c>
      <c r="D42" s="29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1" t="s">
        <v>123</v>
      </c>
      <c r="C44" s="12"/>
      <c r="D44" s="12"/>
      <c r="E44" s="12"/>
      <c r="F44" s="12"/>
      <c r="G44" s="12"/>
      <c r="H44" s="12"/>
      <c r="I44" s="12"/>
      <c r="J44" s="12"/>
    </row>
    <row r="45" spans="2:10" x14ac:dyDescent="0.3">
      <c r="B45" t="s">
        <v>142</v>
      </c>
    </row>
    <row r="46" spans="2:10" x14ac:dyDescent="0.3">
      <c r="B46" t="s">
        <v>148</v>
      </c>
    </row>
    <row r="47" spans="2:10" x14ac:dyDescent="0.3">
      <c r="B47" t="s">
        <v>143</v>
      </c>
    </row>
    <row r="48" spans="2:10" x14ac:dyDescent="0.3">
      <c r="C48" t="s">
        <v>127</v>
      </c>
    </row>
    <row r="49" spans="3:6" x14ac:dyDescent="0.3">
      <c r="C49" s="1" t="s">
        <v>173</v>
      </c>
    </row>
    <row r="50" spans="3:6" x14ac:dyDescent="0.3">
      <c r="C50" s="1" t="s">
        <v>128</v>
      </c>
    </row>
    <row r="51" spans="3:6" x14ac:dyDescent="0.3">
      <c r="C51" s="1" t="s">
        <v>129</v>
      </c>
    </row>
    <row r="52" spans="3:6" x14ac:dyDescent="0.3">
      <c r="C52" s="1" t="s">
        <v>144</v>
      </c>
    </row>
    <row r="53" spans="3:6" x14ac:dyDescent="0.3">
      <c r="C53" t="s">
        <v>145</v>
      </c>
    </row>
    <row r="54" spans="3:6" x14ac:dyDescent="0.3">
      <c r="C54" s="1" t="s">
        <v>146</v>
      </c>
    </row>
    <row r="55" spans="3:6" x14ac:dyDescent="0.3">
      <c r="C55" s="1" t="s">
        <v>147</v>
      </c>
    </row>
    <row r="56" spans="3:6" x14ac:dyDescent="0.3">
      <c r="C56" s="1" t="s">
        <v>130</v>
      </c>
    </row>
    <row r="58" spans="3:6" x14ac:dyDescent="0.3">
      <c r="C58" s="28" t="s">
        <v>132</v>
      </c>
    </row>
    <row r="59" spans="3:6" x14ac:dyDescent="0.3">
      <c r="C59" s="1" t="s">
        <v>149</v>
      </c>
      <c r="D59" s="31" t="str">
        <f t="array" aca="1" ref="D59:F69" ca="1">C_ARR_OHLCV("D","ETH","BTC","ECV",10)</f>
        <v>time</v>
      </c>
      <c r="E59" s="31" t="str">
        <f ca="1"/>
        <v>close</v>
      </c>
      <c r="F59" s="31" t="str">
        <f ca="1"/>
        <v>volumeto</v>
      </c>
    </row>
    <row r="60" spans="3:6" x14ac:dyDescent="0.3">
      <c r="D60" s="32">
        <f ca="1"/>
        <v>43526</v>
      </c>
      <c r="E60" s="29">
        <f ca="1"/>
        <v>3.4669999999999999E-2</v>
      </c>
      <c r="F60" s="29">
        <f ca="1"/>
        <v>95307.54</v>
      </c>
    </row>
    <row r="61" spans="3:6" x14ac:dyDescent="0.3">
      <c r="D61" s="32">
        <f ca="1"/>
        <v>43527</v>
      </c>
      <c r="E61" s="29">
        <f ca="1"/>
        <v>3.4290000000000001E-2</v>
      </c>
      <c r="F61" s="29">
        <f ca="1"/>
        <v>104922.03</v>
      </c>
    </row>
    <row r="62" spans="3:6" x14ac:dyDescent="0.3">
      <c r="D62" s="32">
        <f ca="1"/>
        <v>43528</v>
      </c>
      <c r="E62" s="29">
        <f ca="1"/>
        <v>3.3820000000000003E-2</v>
      </c>
      <c r="F62" s="29">
        <f ca="1"/>
        <v>136948.12</v>
      </c>
    </row>
    <row r="63" spans="3:6" x14ac:dyDescent="0.3">
      <c r="D63" s="32">
        <f ca="1"/>
        <v>43529</v>
      </c>
      <c r="E63" s="29">
        <f ca="1"/>
        <v>3.5430000000000003E-2</v>
      </c>
      <c r="F63" s="29">
        <f ca="1"/>
        <v>142580.29999999999</v>
      </c>
    </row>
    <row r="64" spans="3:6" x14ac:dyDescent="0.3">
      <c r="D64" s="32">
        <f ca="1"/>
        <v>43530</v>
      </c>
      <c r="E64" s="29">
        <f ca="1"/>
        <v>3.5569999999999997E-2</v>
      </c>
      <c r="F64" s="29">
        <f ca="1"/>
        <v>131522.41</v>
      </c>
    </row>
    <row r="65" spans="3:11" x14ac:dyDescent="0.3">
      <c r="D65" s="32">
        <f ca="1"/>
        <v>43531</v>
      </c>
      <c r="E65" s="29">
        <f ca="1"/>
        <v>3.5310000000000001E-2</v>
      </c>
      <c r="F65" s="29">
        <f ca="1"/>
        <v>127351.26</v>
      </c>
    </row>
    <row r="66" spans="3:11" x14ac:dyDescent="0.3">
      <c r="D66" s="32">
        <f ca="1"/>
        <v>43532</v>
      </c>
      <c r="E66" s="29">
        <f ca="1"/>
        <v>3.4569999999999997E-2</v>
      </c>
      <c r="F66" s="29">
        <f ca="1"/>
        <v>135180.98000000001</v>
      </c>
    </row>
    <row r="67" spans="3:11" x14ac:dyDescent="0.3">
      <c r="D67" s="32">
        <f ca="1"/>
        <v>43533</v>
      </c>
      <c r="E67" s="29">
        <f ca="1"/>
        <v>3.4819999999999997E-2</v>
      </c>
      <c r="F67" s="29">
        <f ca="1"/>
        <v>166006.5</v>
      </c>
    </row>
    <row r="68" spans="3:11" x14ac:dyDescent="0.3">
      <c r="D68" s="32">
        <f ca="1"/>
        <v>43534</v>
      </c>
      <c r="E68" s="29">
        <f ca="1"/>
        <v>3.458E-2</v>
      </c>
      <c r="F68" s="29">
        <f ca="1"/>
        <v>157862.76999999999</v>
      </c>
    </row>
    <row r="69" spans="3:11" x14ac:dyDescent="0.3">
      <c r="D69" s="32">
        <f ca="1"/>
        <v>43535</v>
      </c>
      <c r="E69" s="29">
        <f ca="1"/>
        <v>3.4259999999999999E-2</v>
      </c>
      <c r="F69" s="29">
        <f ca="1"/>
        <v>135940.70000000001</v>
      </c>
    </row>
    <row r="72" spans="3:11" x14ac:dyDescent="0.3">
      <c r="C72" s="1" t="s">
        <v>150</v>
      </c>
      <c r="D72" s="31" t="str">
        <f t="array" aca="1" ref="D72:K120" ca="1">C_ARR_OHLCV("2H","XLM","BTC","TEOHLCFV",48,DATE(2018,1,1),"Kraken")</f>
        <v>time</v>
      </c>
      <c r="E72" s="31" t="str">
        <f ca="1"/>
        <v>time</v>
      </c>
      <c r="F72" s="31" t="str">
        <f ca="1"/>
        <v>open</v>
      </c>
      <c r="G72" s="31" t="str">
        <f ca="1"/>
        <v>high</v>
      </c>
      <c r="H72" s="31" t="str">
        <f ca="1"/>
        <v>low</v>
      </c>
      <c r="I72" s="31" t="str">
        <f ca="1"/>
        <v>close</v>
      </c>
      <c r="J72" s="31" t="str">
        <f ca="1"/>
        <v>volumefrom</v>
      </c>
      <c r="K72" s="31" t="str">
        <f ca="1"/>
        <v>volumeto</v>
      </c>
    </row>
    <row r="73" spans="3:11" x14ac:dyDescent="0.3">
      <c r="C73" s="1" t="s">
        <v>174</v>
      </c>
      <c r="D73" s="29">
        <f ca="1"/>
        <v>1514419200</v>
      </c>
      <c r="E73" s="33">
        <f ca="1"/>
        <v>43097</v>
      </c>
      <c r="F73" s="30">
        <f ca="1"/>
        <v>1.455E-5</v>
      </c>
      <c r="G73" s="30">
        <f ca="1"/>
        <v>1.471E-5</v>
      </c>
      <c r="H73" s="30">
        <f ca="1"/>
        <v>1.4440000000000001E-5</v>
      </c>
      <c r="I73" s="30">
        <f ca="1"/>
        <v>1.4589999999999999E-5</v>
      </c>
      <c r="J73" s="34">
        <f ca="1"/>
        <v>526205.89</v>
      </c>
      <c r="K73" s="34">
        <f ca="1"/>
        <v>7.68</v>
      </c>
    </row>
    <row r="74" spans="3:11" x14ac:dyDescent="0.3">
      <c r="C74" s="1" t="s">
        <v>175</v>
      </c>
      <c r="D74" s="29">
        <f ca="1"/>
        <v>1514426400</v>
      </c>
      <c r="E74" s="33">
        <f ca="1"/>
        <v>43097.083333333336</v>
      </c>
      <c r="F74" s="30">
        <f ca="1"/>
        <v>1.4589999999999999E-5</v>
      </c>
      <c r="G74" s="30">
        <f ca="1"/>
        <v>1.473E-5</v>
      </c>
      <c r="H74" s="30">
        <f ca="1"/>
        <v>1.345E-5</v>
      </c>
      <c r="I74" s="30">
        <f ca="1"/>
        <v>1.464E-5</v>
      </c>
      <c r="J74" s="34">
        <f ca="1"/>
        <v>1511910.76</v>
      </c>
      <c r="K74" s="34">
        <f ca="1"/>
        <v>21.53</v>
      </c>
    </row>
    <row r="75" spans="3:11" x14ac:dyDescent="0.3">
      <c r="D75" s="29">
        <f ca="1"/>
        <v>1514433600</v>
      </c>
      <c r="E75" s="33">
        <f ca="1"/>
        <v>43097.166666666664</v>
      </c>
      <c r="F75" s="30">
        <f ca="1"/>
        <v>1.464E-5</v>
      </c>
      <c r="G75" s="30">
        <f ca="1"/>
        <v>1.469E-5</v>
      </c>
      <c r="H75" s="30">
        <f ca="1"/>
        <v>1.4E-5</v>
      </c>
      <c r="I75" s="30">
        <f ca="1"/>
        <v>1.4450000000000001E-5</v>
      </c>
      <c r="J75" s="34">
        <f ca="1"/>
        <v>966908.85</v>
      </c>
      <c r="K75" s="34">
        <f ca="1"/>
        <v>13.89</v>
      </c>
    </row>
    <row r="76" spans="3:11" x14ac:dyDescent="0.3">
      <c r="D76" s="29">
        <f ca="1"/>
        <v>1514440800</v>
      </c>
      <c r="E76" s="33">
        <f ca="1"/>
        <v>43097.25</v>
      </c>
      <c r="F76" s="30">
        <f ca="1"/>
        <v>1.4450000000000001E-5</v>
      </c>
      <c r="G76" s="30">
        <f ca="1"/>
        <v>1.464E-5</v>
      </c>
      <c r="H76" s="30">
        <f ca="1"/>
        <v>1.417E-5</v>
      </c>
      <c r="I76" s="30">
        <f ca="1"/>
        <v>1.4579999999999999E-5</v>
      </c>
      <c r="J76" s="34">
        <f ca="1"/>
        <v>833357.93</v>
      </c>
      <c r="K76" s="34">
        <f ca="1"/>
        <v>11.97</v>
      </c>
    </row>
    <row r="77" spans="3:11" x14ac:dyDescent="0.3">
      <c r="D77" s="29">
        <f ca="1"/>
        <v>1514448000</v>
      </c>
      <c r="E77" s="33">
        <f ca="1"/>
        <v>43097.333333333336</v>
      </c>
      <c r="F77" s="30">
        <f ca="1"/>
        <v>1.4579999999999999E-5</v>
      </c>
      <c r="G77" s="30">
        <f ca="1"/>
        <v>1.4579999999999999E-5</v>
      </c>
      <c r="H77" s="30">
        <f ca="1"/>
        <v>1.3900000000000001E-5</v>
      </c>
      <c r="I77" s="30">
        <f ca="1"/>
        <v>1.436E-5</v>
      </c>
      <c r="J77" s="34">
        <f ca="1"/>
        <v>1058522.69</v>
      </c>
      <c r="K77" s="34">
        <f ca="1"/>
        <v>15.06</v>
      </c>
    </row>
    <row r="78" spans="3:11" x14ac:dyDescent="0.3">
      <c r="D78" s="29">
        <f ca="1"/>
        <v>1514455200</v>
      </c>
      <c r="E78" s="33">
        <f ca="1"/>
        <v>43097.416666666664</v>
      </c>
      <c r="F78" s="30">
        <f ca="1"/>
        <v>1.436E-5</v>
      </c>
      <c r="G78" s="30">
        <f ca="1"/>
        <v>1.448E-5</v>
      </c>
      <c r="H78" s="30">
        <f ca="1"/>
        <v>1.4229999999999999E-5</v>
      </c>
      <c r="I78" s="30">
        <f ca="1"/>
        <v>1.433E-5</v>
      </c>
      <c r="J78" s="34">
        <f ca="1"/>
        <v>763329.2</v>
      </c>
      <c r="K78" s="34">
        <f ca="1"/>
        <v>10.97</v>
      </c>
    </row>
    <row r="79" spans="3:11" x14ac:dyDescent="0.3">
      <c r="D79" s="29">
        <f ca="1"/>
        <v>1514462400</v>
      </c>
      <c r="E79" s="33">
        <f ca="1"/>
        <v>43097.5</v>
      </c>
      <c r="F79" s="30">
        <f ca="1"/>
        <v>1.433E-5</v>
      </c>
      <c r="G79" s="30">
        <f ca="1"/>
        <v>1.5E-5</v>
      </c>
      <c r="H79" s="30">
        <f ca="1"/>
        <v>1.429E-5</v>
      </c>
      <c r="I79" s="30">
        <f ca="1"/>
        <v>1.464E-5</v>
      </c>
      <c r="J79" s="34">
        <f ca="1"/>
        <v>1185018.6399999999</v>
      </c>
      <c r="K79" s="34">
        <f ca="1"/>
        <v>17.2</v>
      </c>
    </row>
    <row r="80" spans="3:11" x14ac:dyDescent="0.3">
      <c r="D80" s="29">
        <f ca="1"/>
        <v>1514469600</v>
      </c>
      <c r="E80" s="33">
        <f ca="1"/>
        <v>43097.583333333336</v>
      </c>
      <c r="F80" s="30">
        <f ca="1"/>
        <v>1.464E-5</v>
      </c>
      <c r="G80" s="30">
        <f ca="1"/>
        <v>1.4949999999999999E-5</v>
      </c>
      <c r="H80" s="30">
        <f ca="1"/>
        <v>1.456E-5</v>
      </c>
      <c r="I80" s="30">
        <f ca="1"/>
        <v>1.466E-5</v>
      </c>
      <c r="J80" s="34">
        <f ca="1"/>
        <v>1309158.05</v>
      </c>
      <c r="K80" s="34">
        <f ca="1"/>
        <v>19.25</v>
      </c>
    </row>
    <row r="81" spans="4:11" x14ac:dyDescent="0.3">
      <c r="D81" s="29">
        <f ca="1"/>
        <v>1514476800</v>
      </c>
      <c r="E81" s="33">
        <f ca="1"/>
        <v>43097.666666666664</v>
      </c>
      <c r="F81" s="30">
        <f ca="1"/>
        <v>1.466E-5</v>
      </c>
      <c r="G81" s="30">
        <f ca="1"/>
        <v>1.5150000000000001E-5</v>
      </c>
      <c r="H81" s="30">
        <f ca="1"/>
        <v>1.436E-5</v>
      </c>
      <c r="I81" s="30">
        <f ca="1"/>
        <v>1.507E-5</v>
      </c>
      <c r="J81" s="34">
        <f ca="1"/>
        <v>2081526.13</v>
      </c>
      <c r="K81" s="34">
        <f ca="1"/>
        <v>30.96</v>
      </c>
    </row>
    <row r="82" spans="4:11" x14ac:dyDescent="0.3">
      <c r="D82" s="29">
        <f ca="1"/>
        <v>1514484000</v>
      </c>
      <c r="E82" s="33">
        <f ca="1"/>
        <v>43097.75</v>
      </c>
      <c r="F82" s="30">
        <f ca="1"/>
        <v>1.507E-5</v>
      </c>
      <c r="G82" s="30">
        <f ca="1"/>
        <v>1.571E-5</v>
      </c>
      <c r="H82" s="30">
        <f ca="1"/>
        <v>1.5E-5</v>
      </c>
      <c r="I82" s="30">
        <f ca="1"/>
        <v>1.558E-5</v>
      </c>
      <c r="J82" s="34">
        <f ca="1"/>
        <v>3759282.43</v>
      </c>
      <c r="K82" s="34">
        <f ca="1"/>
        <v>57.92</v>
      </c>
    </row>
    <row r="83" spans="4:11" x14ac:dyDescent="0.3">
      <c r="D83" s="29">
        <f ca="1"/>
        <v>1514491200</v>
      </c>
      <c r="E83" s="33">
        <f ca="1"/>
        <v>43097.833333333336</v>
      </c>
      <c r="F83" s="30">
        <f ca="1"/>
        <v>1.558E-5</v>
      </c>
      <c r="G83" s="30">
        <f ca="1"/>
        <v>1.5630000000000001E-5</v>
      </c>
      <c r="H83" s="30">
        <f ca="1"/>
        <v>1.5319999999999999E-5</v>
      </c>
      <c r="I83" s="30">
        <f ca="1"/>
        <v>1.541E-5</v>
      </c>
      <c r="J83" s="34">
        <f ca="1"/>
        <v>1018936.31</v>
      </c>
      <c r="K83" s="34">
        <f ca="1"/>
        <v>15.78</v>
      </c>
    </row>
    <row r="84" spans="4:11" x14ac:dyDescent="0.3">
      <c r="D84" s="29">
        <f ca="1"/>
        <v>1514498400</v>
      </c>
      <c r="E84" s="33">
        <f ca="1"/>
        <v>43097.916666666664</v>
      </c>
      <c r="F84" s="30">
        <f ca="1"/>
        <v>1.541E-5</v>
      </c>
      <c r="G84" s="30">
        <f ca="1"/>
        <v>1.5999999999999999E-5</v>
      </c>
      <c r="H84" s="30">
        <f ca="1"/>
        <v>1.521E-5</v>
      </c>
      <c r="I84" s="30">
        <f ca="1"/>
        <v>1.541E-5</v>
      </c>
      <c r="J84" s="34">
        <f ca="1"/>
        <v>1842118.29</v>
      </c>
      <c r="K84" s="34">
        <f ca="1"/>
        <v>28.97</v>
      </c>
    </row>
    <row r="85" spans="4:11" x14ac:dyDescent="0.3">
      <c r="D85" s="29">
        <f ca="1"/>
        <v>1514505600</v>
      </c>
      <c r="E85" s="33">
        <f ca="1"/>
        <v>43098</v>
      </c>
      <c r="F85" s="30">
        <f ca="1"/>
        <v>1.541E-5</v>
      </c>
      <c r="G85" s="30">
        <f ca="1"/>
        <v>1.5950000000000001E-5</v>
      </c>
      <c r="H85" s="30">
        <f ca="1"/>
        <v>1.52E-5</v>
      </c>
      <c r="I85" s="30">
        <f ca="1"/>
        <v>1.592E-5</v>
      </c>
      <c r="J85" s="34">
        <f ca="1"/>
        <v>1660812.09</v>
      </c>
      <c r="K85" s="34">
        <f ca="1"/>
        <v>25.56</v>
      </c>
    </row>
    <row r="86" spans="4:11" x14ac:dyDescent="0.3">
      <c r="D86" s="29">
        <f ca="1"/>
        <v>1514512800</v>
      </c>
      <c r="E86" s="33">
        <f ca="1"/>
        <v>43098.083333333336</v>
      </c>
      <c r="F86" s="30">
        <f ca="1"/>
        <v>1.592E-5</v>
      </c>
      <c r="G86" s="30">
        <f ca="1"/>
        <v>1.5990000000000001E-5</v>
      </c>
      <c r="H86" s="30">
        <f ca="1"/>
        <v>1.554E-5</v>
      </c>
      <c r="I86" s="30">
        <f ca="1"/>
        <v>1.59E-5</v>
      </c>
      <c r="J86" s="34">
        <f ca="1"/>
        <v>1380224.4</v>
      </c>
      <c r="K86" s="34">
        <f ca="1"/>
        <v>21.8</v>
      </c>
    </row>
    <row r="87" spans="4:11" x14ac:dyDescent="0.3">
      <c r="D87" s="29">
        <f ca="1"/>
        <v>1514520000</v>
      </c>
      <c r="E87" s="33">
        <f ca="1"/>
        <v>43098.166666666664</v>
      </c>
      <c r="F87" s="30">
        <f ca="1"/>
        <v>1.59E-5</v>
      </c>
      <c r="G87" s="30">
        <f ca="1"/>
        <v>1.6500000000000001E-5</v>
      </c>
      <c r="H87" s="30">
        <f ca="1"/>
        <v>1.59E-5</v>
      </c>
      <c r="I87" s="30">
        <f ca="1"/>
        <v>1.6500000000000001E-5</v>
      </c>
      <c r="J87" s="34">
        <f ca="1"/>
        <v>3397998.12</v>
      </c>
      <c r="K87" s="34">
        <f ca="1"/>
        <v>55.52</v>
      </c>
    </row>
    <row r="88" spans="4:11" x14ac:dyDescent="0.3">
      <c r="D88" s="29">
        <f ca="1"/>
        <v>1514527200</v>
      </c>
      <c r="E88" s="33">
        <f ca="1"/>
        <v>43098.25</v>
      </c>
      <c r="F88" s="30">
        <f ca="1"/>
        <v>1.6500000000000001E-5</v>
      </c>
      <c r="G88" s="30">
        <f ca="1"/>
        <v>1.698E-5</v>
      </c>
      <c r="H88" s="30">
        <f ca="1"/>
        <v>1.6099999999999998E-5</v>
      </c>
      <c r="I88" s="30">
        <f ca="1"/>
        <v>1.6290000000000002E-5</v>
      </c>
      <c r="J88" s="34">
        <f ca="1"/>
        <v>1876367.77</v>
      </c>
      <c r="K88" s="34">
        <f ca="1"/>
        <v>31.04</v>
      </c>
    </row>
    <row r="89" spans="4:11" x14ac:dyDescent="0.3">
      <c r="D89" s="29">
        <f ca="1"/>
        <v>1514534400</v>
      </c>
      <c r="E89" s="33">
        <f ca="1"/>
        <v>43098.333333333336</v>
      </c>
      <c r="F89" s="30">
        <f ca="1"/>
        <v>1.6290000000000002E-5</v>
      </c>
      <c r="G89" s="30">
        <f ca="1"/>
        <v>1.7450000000000001E-5</v>
      </c>
      <c r="H89" s="30">
        <f ca="1"/>
        <v>1.6019999999999999E-5</v>
      </c>
      <c r="I89" s="30">
        <f ca="1"/>
        <v>1.685E-5</v>
      </c>
      <c r="J89" s="34">
        <f ca="1"/>
        <v>3640110.84</v>
      </c>
      <c r="K89" s="34">
        <f ca="1"/>
        <v>60.79</v>
      </c>
    </row>
    <row r="90" spans="4:11" x14ac:dyDescent="0.3">
      <c r="D90" s="29">
        <f ca="1"/>
        <v>1514541600</v>
      </c>
      <c r="E90" s="33">
        <f ca="1"/>
        <v>43098.416666666664</v>
      </c>
      <c r="F90" s="30">
        <f ca="1"/>
        <v>1.685E-5</v>
      </c>
      <c r="G90" s="30">
        <f ca="1"/>
        <v>1.8689999999999999E-5</v>
      </c>
      <c r="H90" s="30">
        <f ca="1"/>
        <v>1.605E-5</v>
      </c>
      <c r="I90" s="30">
        <f ca="1"/>
        <v>1.8689999999999999E-5</v>
      </c>
      <c r="J90" s="34">
        <f ca="1"/>
        <v>7840446.21</v>
      </c>
      <c r="K90" s="34">
        <f ca="1"/>
        <v>136.97</v>
      </c>
    </row>
    <row r="91" spans="4:11" x14ac:dyDescent="0.3">
      <c r="D91" s="29">
        <f ca="1"/>
        <v>1514548800</v>
      </c>
      <c r="E91" s="33">
        <f ca="1"/>
        <v>43098.5</v>
      </c>
      <c r="F91" s="30">
        <f ca="1"/>
        <v>1.8689999999999999E-5</v>
      </c>
      <c r="G91" s="30">
        <f ca="1"/>
        <v>1.8989999999999999E-5</v>
      </c>
      <c r="H91" s="30">
        <f ca="1"/>
        <v>1.802E-5</v>
      </c>
      <c r="I91" s="30">
        <f ca="1"/>
        <v>1.825E-5</v>
      </c>
      <c r="J91" s="34">
        <f ca="1"/>
        <v>9265250.9700000007</v>
      </c>
      <c r="K91" s="34">
        <f ca="1"/>
        <v>171.05</v>
      </c>
    </row>
    <row r="92" spans="4:11" x14ac:dyDescent="0.3">
      <c r="D92" s="29">
        <f ca="1"/>
        <v>1514556000</v>
      </c>
      <c r="E92" s="33">
        <f ca="1"/>
        <v>43098.583333333336</v>
      </c>
      <c r="F92" s="30">
        <f ca="1"/>
        <v>1.825E-5</v>
      </c>
      <c r="G92" s="30">
        <f ca="1"/>
        <v>1.999E-5</v>
      </c>
      <c r="H92" s="30">
        <f ca="1"/>
        <v>1.8130000000000001E-5</v>
      </c>
      <c r="I92" s="30">
        <f ca="1"/>
        <v>1.897E-5</v>
      </c>
      <c r="J92" s="34">
        <f ca="1"/>
        <v>7850127.0499999998</v>
      </c>
      <c r="K92" s="34">
        <f ca="1"/>
        <v>150.69</v>
      </c>
    </row>
    <row r="93" spans="4:11" x14ac:dyDescent="0.3">
      <c r="D93" s="29">
        <f ca="1"/>
        <v>1514563200</v>
      </c>
      <c r="E93" s="33">
        <f ca="1"/>
        <v>43098.666666666664</v>
      </c>
      <c r="F93" s="30">
        <f ca="1"/>
        <v>1.897E-5</v>
      </c>
      <c r="G93" s="30">
        <f ca="1"/>
        <v>1.9979999999999998E-5</v>
      </c>
      <c r="H93" s="30">
        <f ca="1"/>
        <v>1.8649999999999999E-5</v>
      </c>
      <c r="I93" s="30">
        <f ca="1"/>
        <v>1.98E-5</v>
      </c>
      <c r="J93" s="34">
        <f ca="1"/>
        <v>4385247.6100000003</v>
      </c>
      <c r="K93" s="34">
        <f ca="1"/>
        <v>85.03</v>
      </c>
    </row>
    <row r="94" spans="4:11" x14ac:dyDescent="0.3">
      <c r="D94" s="29">
        <f ca="1"/>
        <v>1514570400</v>
      </c>
      <c r="E94" s="33">
        <f ca="1"/>
        <v>43098.75</v>
      </c>
      <c r="F94" s="30">
        <f ca="1"/>
        <v>1.9890000000000001E-5</v>
      </c>
      <c r="G94" s="30">
        <f ca="1"/>
        <v>2.1950000000000002E-5</v>
      </c>
      <c r="H94" s="30">
        <f ca="1"/>
        <v>1.95E-5</v>
      </c>
      <c r="I94" s="30">
        <f ca="1"/>
        <v>2.088E-5</v>
      </c>
      <c r="J94" s="34">
        <f ca="1"/>
        <v>8462616.6099999994</v>
      </c>
      <c r="K94" s="34">
        <f ca="1"/>
        <v>170.99</v>
      </c>
    </row>
    <row r="95" spans="4:11" x14ac:dyDescent="0.3">
      <c r="D95" s="29">
        <f ca="1"/>
        <v>1514577600</v>
      </c>
      <c r="E95" s="33">
        <f ca="1"/>
        <v>43098.833333333336</v>
      </c>
      <c r="F95" s="30">
        <f ca="1"/>
        <v>2.088E-5</v>
      </c>
      <c r="G95" s="30">
        <f ca="1"/>
        <v>2.1990000000000001E-5</v>
      </c>
      <c r="H95" s="30">
        <f ca="1"/>
        <v>1.9700000000000001E-5</v>
      </c>
      <c r="I95" s="30">
        <f ca="1"/>
        <v>2.0800000000000001E-5</v>
      </c>
      <c r="J95" s="34">
        <f ca="1"/>
        <v>5774654.1299999999</v>
      </c>
      <c r="K95" s="34">
        <f ca="1"/>
        <v>119.83</v>
      </c>
    </row>
    <row r="96" spans="4:11" x14ac:dyDescent="0.3">
      <c r="D96" s="29">
        <f ca="1"/>
        <v>1514584800</v>
      </c>
      <c r="E96" s="33">
        <f ca="1"/>
        <v>43098.916666666664</v>
      </c>
      <c r="F96" s="30">
        <f ca="1"/>
        <v>2.0800000000000001E-5</v>
      </c>
      <c r="G96" s="30">
        <f ca="1"/>
        <v>2.4000000000000001E-5</v>
      </c>
      <c r="H96" s="30">
        <f ca="1"/>
        <v>2.0509999999999998E-5</v>
      </c>
      <c r="I96" s="30">
        <f ca="1"/>
        <v>2.2529999999999999E-5</v>
      </c>
      <c r="J96" s="34">
        <f ca="1"/>
        <v>12779040.789999999</v>
      </c>
      <c r="K96" s="34">
        <f ca="1"/>
        <v>292.47000000000003</v>
      </c>
    </row>
    <row r="97" spans="4:11" x14ac:dyDescent="0.3">
      <c r="D97" s="29">
        <f ca="1"/>
        <v>1514592000</v>
      </c>
      <c r="E97" s="33">
        <f ca="1"/>
        <v>43099</v>
      </c>
      <c r="F97" s="30">
        <f ca="1"/>
        <v>2.2529999999999999E-5</v>
      </c>
      <c r="G97" s="30">
        <f ca="1"/>
        <v>2.5999999999999998E-5</v>
      </c>
      <c r="H97" s="30">
        <f ca="1"/>
        <v>2.1889999999999999E-5</v>
      </c>
      <c r="I97" s="30">
        <f ca="1"/>
        <v>2.597E-5</v>
      </c>
      <c r="J97" s="34">
        <f ca="1"/>
        <v>7997146.0300000003</v>
      </c>
      <c r="K97" s="34">
        <f ca="1"/>
        <v>194.06</v>
      </c>
    </row>
    <row r="98" spans="4:11" x14ac:dyDescent="0.3">
      <c r="D98" s="29">
        <f ca="1"/>
        <v>1514599200</v>
      </c>
      <c r="E98" s="33">
        <f ca="1"/>
        <v>43099.083333333336</v>
      </c>
      <c r="F98" s="30">
        <f ca="1"/>
        <v>2.597E-5</v>
      </c>
      <c r="G98" s="30">
        <f ca="1"/>
        <v>2.5999999999999998E-5</v>
      </c>
      <c r="H98" s="30">
        <f ca="1"/>
        <v>2.34E-5</v>
      </c>
      <c r="I98" s="30">
        <f ca="1"/>
        <v>2.4470000000000001E-5</v>
      </c>
      <c r="J98" s="34">
        <f ca="1"/>
        <v>7324847.4299999997</v>
      </c>
      <c r="K98" s="34">
        <f ca="1"/>
        <v>176.55</v>
      </c>
    </row>
    <row r="99" spans="4:11" x14ac:dyDescent="0.3">
      <c r="D99" s="29">
        <f ca="1"/>
        <v>1514606400</v>
      </c>
      <c r="E99" s="33">
        <f ca="1"/>
        <v>43099.166666666664</v>
      </c>
      <c r="F99" s="30">
        <f ca="1"/>
        <v>2.4470000000000001E-5</v>
      </c>
      <c r="G99" s="30">
        <f ca="1"/>
        <v>2.5199999999999999E-5</v>
      </c>
      <c r="H99" s="30">
        <f ca="1"/>
        <v>2.1999999999999999E-5</v>
      </c>
      <c r="I99" s="30">
        <f ca="1"/>
        <v>2.3900000000000002E-5</v>
      </c>
      <c r="J99" s="34">
        <f ca="1"/>
        <v>5491341.96</v>
      </c>
      <c r="K99" s="34">
        <f ca="1"/>
        <v>130.28</v>
      </c>
    </row>
    <row r="100" spans="4:11" x14ac:dyDescent="0.3">
      <c r="D100" s="29">
        <f ca="1"/>
        <v>1514613600</v>
      </c>
      <c r="E100" s="33">
        <f ca="1"/>
        <v>43099.25</v>
      </c>
      <c r="F100" s="30">
        <f ca="1"/>
        <v>2.3900000000000002E-5</v>
      </c>
      <c r="G100" s="30">
        <f ca="1"/>
        <v>2.7209999999999999E-5</v>
      </c>
      <c r="H100" s="30">
        <f ca="1"/>
        <v>2.353E-5</v>
      </c>
      <c r="I100" s="30">
        <f ca="1"/>
        <v>2.6990000000000001E-5</v>
      </c>
      <c r="J100" s="34">
        <f ca="1"/>
        <v>7027528.9900000002</v>
      </c>
      <c r="K100" s="34">
        <f ca="1"/>
        <v>180.17</v>
      </c>
    </row>
    <row r="101" spans="4:11" x14ac:dyDescent="0.3">
      <c r="D101" s="29">
        <f ca="1"/>
        <v>1514620800</v>
      </c>
      <c r="E101" s="33">
        <f ca="1"/>
        <v>43099.333333333336</v>
      </c>
      <c r="F101" s="30">
        <f ca="1"/>
        <v>2.6990000000000001E-5</v>
      </c>
      <c r="G101" s="30">
        <f ca="1"/>
        <v>2.722E-5</v>
      </c>
      <c r="H101" s="30">
        <f ca="1"/>
        <v>2.5020000000000001E-5</v>
      </c>
      <c r="I101" s="30">
        <f ca="1"/>
        <v>2.722E-5</v>
      </c>
      <c r="J101" s="34">
        <f ca="1"/>
        <v>6203041.5599999996</v>
      </c>
      <c r="K101" s="34">
        <f ca="1"/>
        <v>166.21</v>
      </c>
    </row>
    <row r="102" spans="4:11" x14ac:dyDescent="0.3">
      <c r="D102" s="29">
        <f ca="1"/>
        <v>1514628000</v>
      </c>
      <c r="E102" s="33">
        <f ca="1"/>
        <v>43099.416666666664</v>
      </c>
      <c r="F102" s="30">
        <f ca="1"/>
        <v>2.722E-5</v>
      </c>
      <c r="G102" s="30">
        <f ca="1"/>
        <v>2.8799999999999999E-5</v>
      </c>
      <c r="H102" s="30">
        <f ca="1"/>
        <v>2.404E-5</v>
      </c>
      <c r="I102" s="30">
        <f ca="1"/>
        <v>2.5729999999999999E-5</v>
      </c>
      <c r="J102" s="34">
        <f ca="1"/>
        <v>11106846.77</v>
      </c>
      <c r="K102" s="34">
        <f ca="1"/>
        <v>295.36</v>
      </c>
    </row>
    <row r="103" spans="4:11" x14ac:dyDescent="0.3">
      <c r="D103" s="29">
        <f ca="1"/>
        <v>1514635200</v>
      </c>
      <c r="E103" s="33">
        <f ca="1"/>
        <v>43099.5</v>
      </c>
      <c r="F103" s="30">
        <f ca="1"/>
        <v>2.5729999999999999E-5</v>
      </c>
      <c r="G103" s="30">
        <f ca="1"/>
        <v>2.597E-5</v>
      </c>
      <c r="H103" s="30">
        <f ca="1"/>
        <v>2.2010000000000001E-5</v>
      </c>
      <c r="I103" s="30">
        <f ca="1"/>
        <v>2.444E-5</v>
      </c>
      <c r="J103" s="34">
        <f ca="1"/>
        <v>7602454.0899999999</v>
      </c>
      <c r="K103" s="34">
        <f ca="1"/>
        <v>182.17</v>
      </c>
    </row>
    <row r="104" spans="4:11" x14ac:dyDescent="0.3">
      <c r="D104" s="29">
        <f ca="1"/>
        <v>1514642400</v>
      </c>
      <c r="E104" s="33">
        <f ca="1"/>
        <v>43099.583333333336</v>
      </c>
      <c r="F104" s="30">
        <f ca="1"/>
        <v>2.444E-5</v>
      </c>
      <c r="G104" s="30">
        <f ca="1"/>
        <v>2.6979999999999999E-5</v>
      </c>
      <c r="H104" s="30">
        <f ca="1"/>
        <v>2.408E-5</v>
      </c>
      <c r="I104" s="30">
        <f ca="1"/>
        <v>2.633E-5</v>
      </c>
      <c r="J104" s="34">
        <f ca="1"/>
        <v>3301649.43</v>
      </c>
      <c r="K104" s="34">
        <f ca="1"/>
        <v>83.92</v>
      </c>
    </row>
    <row r="105" spans="4:11" x14ac:dyDescent="0.3">
      <c r="D105" s="29">
        <f ca="1"/>
        <v>1514649600</v>
      </c>
      <c r="E105" s="33">
        <f ca="1"/>
        <v>43099.666666666664</v>
      </c>
      <c r="F105" s="30">
        <f ca="1"/>
        <v>2.633E-5</v>
      </c>
      <c r="G105" s="30">
        <f ca="1"/>
        <v>2.6780000000000001E-5</v>
      </c>
      <c r="H105" s="30">
        <f ca="1"/>
        <v>2.438E-5</v>
      </c>
      <c r="I105" s="30">
        <f ca="1"/>
        <v>2.5130000000000002E-5</v>
      </c>
      <c r="J105" s="34">
        <f ca="1"/>
        <v>4400511.3899999997</v>
      </c>
      <c r="K105" s="34">
        <f ca="1"/>
        <v>111.31</v>
      </c>
    </row>
    <row r="106" spans="4:11" x14ac:dyDescent="0.3">
      <c r="D106" s="29">
        <f ca="1"/>
        <v>1514656800</v>
      </c>
      <c r="E106" s="33">
        <f ca="1"/>
        <v>43099.75</v>
      </c>
      <c r="F106" s="30">
        <f ca="1"/>
        <v>2.5130000000000002E-5</v>
      </c>
      <c r="G106" s="30">
        <f ca="1"/>
        <v>2.6299999999999999E-5</v>
      </c>
      <c r="H106" s="30">
        <f ca="1"/>
        <v>2.4009999999999999E-5</v>
      </c>
      <c r="I106" s="30">
        <f ca="1"/>
        <v>2.5789999999999999E-5</v>
      </c>
      <c r="J106" s="34">
        <f ca="1"/>
        <v>4040794.18</v>
      </c>
      <c r="K106" s="34">
        <f ca="1"/>
        <v>101.34</v>
      </c>
    </row>
    <row r="107" spans="4:11" x14ac:dyDescent="0.3">
      <c r="D107" s="29">
        <f ca="1"/>
        <v>1514664000</v>
      </c>
      <c r="E107" s="33">
        <f ca="1"/>
        <v>43099.833333333336</v>
      </c>
      <c r="F107" s="30">
        <f ca="1"/>
        <v>2.5789999999999999E-5</v>
      </c>
      <c r="G107" s="30">
        <f ca="1"/>
        <v>2.9300000000000001E-5</v>
      </c>
      <c r="H107" s="30">
        <f ca="1"/>
        <v>2.527E-5</v>
      </c>
      <c r="I107" s="30">
        <f ca="1"/>
        <v>2.6509999999999999E-5</v>
      </c>
      <c r="J107" s="34">
        <f ca="1"/>
        <v>6335981.8300000001</v>
      </c>
      <c r="K107" s="34">
        <f ca="1"/>
        <v>175.57</v>
      </c>
    </row>
    <row r="108" spans="4:11" x14ac:dyDescent="0.3">
      <c r="D108" s="29">
        <f ca="1"/>
        <v>1514671200</v>
      </c>
      <c r="E108" s="33">
        <f ca="1"/>
        <v>43099.916666666664</v>
      </c>
      <c r="F108" s="30">
        <f ca="1"/>
        <v>2.6509999999999999E-5</v>
      </c>
      <c r="G108" s="30">
        <f ca="1"/>
        <v>2.7990000000000001E-5</v>
      </c>
      <c r="H108" s="30">
        <f ca="1"/>
        <v>2.4470000000000001E-5</v>
      </c>
      <c r="I108" s="30">
        <f ca="1"/>
        <v>2.5599999999999999E-5</v>
      </c>
      <c r="J108" s="34">
        <f ca="1"/>
        <v>4652342.67</v>
      </c>
      <c r="K108" s="34">
        <f ca="1"/>
        <v>120.56</v>
      </c>
    </row>
    <row r="109" spans="4:11" x14ac:dyDescent="0.3">
      <c r="D109" s="29">
        <f ca="1"/>
        <v>1514678400</v>
      </c>
      <c r="E109" s="33">
        <f ca="1"/>
        <v>43100</v>
      </c>
      <c r="F109" s="30">
        <f ca="1"/>
        <v>2.5599999999999999E-5</v>
      </c>
      <c r="G109" s="30">
        <f ca="1"/>
        <v>2.6400000000000001E-5</v>
      </c>
      <c r="H109" s="30">
        <f ca="1"/>
        <v>2.3110000000000001E-5</v>
      </c>
      <c r="I109" s="30">
        <f ca="1"/>
        <v>2.548E-5</v>
      </c>
      <c r="J109" s="34">
        <f ca="1"/>
        <v>2525873.21</v>
      </c>
      <c r="K109" s="34">
        <f ca="1"/>
        <v>63.05</v>
      </c>
    </row>
    <row r="110" spans="4:11" x14ac:dyDescent="0.3">
      <c r="D110" s="29">
        <f ca="1"/>
        <v>1514685600</v>
      </c>
      <c r="E110" s="33">
        <f ca="1"/>
        <v>43100.083333333336</v>
      </c>
      <c r="F110" s="30">
        <f ca="1"/>
        <v>2.548E-5</v>
      </c>
      <c r="G110" s="30">
        <f ca="1"/>
        <v>2.5789999999999999E-5</v>
      </c>
      <c r="H110" s="30">
        <f ca="1"/>
        <v>2.3E-5</v>
      </c>
      <c r="I110" s="30">
        <f ca="1"/>
        <v>2.302E-5</v>
      </c>
      <c r="J110" s="34">
        <f ca="1"/>
        <v>2142544.4500000002</v>
      </c>
      <c r="K110" s="34">
        <f ca="1"/>
        <v>52.1</v>
      </c>
    </row>
    <row r="111" spans="4:11" x14ac:dyDescent="0.3">
      <c r="D111" s="29">
        <f ca="1"/>
        <v>1514692800</v>
      </c>
      <c r="E111" s="33">
        <f ca="1"/>
        <v>43100.166666666664</v>
      </c>
      <c r="F111" s="30">
        <f ca="1"/>
        <v>2.302E-5</v>
      </c>
      <c r="G111" s="30">
        <f ca="1"/>
        <v>2.4980000000000001E-5</v>
      </c>
      <c r="H111" s="30">
        <f ca="1"/>
        <v>2.3E-5</v>
      </c>
      <c r="I111" s="30">
        <f ca="1"/>
        <v>2.41E-5</v>
      </c>
      <c r="J111" s="34">
        <f ca="1"/>
        <v>1665262.65</v>
      </c>
      <c r="K111" s="34">
        <f ca="1"/>
        <v>39.770000000000003</v>
      </c>
    </row>
    <row r="112" spans="4:11" x14ac:dyDescent="0.3">
      <c r="D112" s="29">
        <f ca="1"/>
        <v>1514700000</v>
      </c>
      <c r="E112" s="33">
        <f ca="1"/>
        <v>43100.25</v>
      </c>
      <c r="F112" s="30">
        <f ca="1"/>
        <v>2.41E-5</v>
      </c>
      <c r="G112" s="30">
        <f ca="1"/>
        <v>2.4980000000000001E-5</v>
      </c>
      <c r="H112" s="30">
        <f ca="1"/>
        <v>2.3989999999999999E-5</v>
      </c>
      <c r="I112" s="30">
        <f ca="1"/>
        <v>2.4280000000000001E-5</v>
      </c>
      <c r="J112" s="34">
        <f ca="1"/>
        <v>1632671.15</v>
      </c>
      <c r="K112" s="34">
        <f ca="1"/>
        <v>39.700000000000003</v>
      </c>
    </row>
    <row r="113" spans="4:11" x14ac:dyDescent="0.3">
      <c r="D113" s="29">
        <f ca="1"/>
        <v>1514707200</v>
      </c>
      <c r="E113" s="33">
        <f ca="1"/>
        <v>43100.333333333336</v>
      </c>
      <c r="F113" s="30">
        <f ca="1"/>
        <v>2.4280000000000001E-5</v>
      </c>
      <c r="G113" s="30">
        <f ca="1"/>
        <v>2.499E-5</v>
      </c>
      <c r="H113" s="30">
        <f ca="1"/>
        <v>2.4199999999999999E-5</v>
      </c>
      <c r="I113" s="30">
        <f ca="1"/>
        <v>2.4499999999999999E-5</v>
      </c>
      <c r="J113" s="34">
        <f ca="1"/>
        <v>758526.59</v>
      </c>
      <c r="K113" s="34">
        <f ca="1"/>
        <v>18.75</v>
      </c>
    </row>
    <row r="114" spans="4:11" x14ac:dyDescent="0.3">
      <c r="D114" s="29">
        <f ca="1"/>
        <v>1514714400</v>
      </c>
      <c r="E114" s="33">
        <f ca="1"/>
        <v>43100.416666666664</v>
      </c>
      <c r="F114" s="30">
        <f ca="1"/>
        <v>2.4499999999999999E-5</v>
      </c>
      <c r="G114" s="30">
        <f ca="1"/>
        <v>2.5000000000000001E-5</v>
      </c>
      <c r="H114" s="30">
        <f ca="1"/>
        <v>2.4009999999999999E-5</v>
      </c>
      <c r="I114" s="30">
        <f ca="1"/>
        <v>2.499E-5</v>
      </c>
      <c r="J114" s="34">
        <f ca="1"/>
        <v>1116405.3899999999</v>
      </c>
      <c r="K114" s="34">
        <f ca="1"/>
        <v>27.58</v>
      </c>
    </row>
    <row r="115" spans="4:11" x14ac:dyDescent="0.3">
      <c r="D115" s="29">
        <f ca="1"/>
        <v>1514721600</v>
      </c>
      <c r="E115" s="33">
        <f ca="1"/>
        <v>43100.5</v>
      </c>
      <c r="F115" s="30">
        <f ca="1"/>
        <v>2.499E-5</v>
      </c>
      <c r="G115" s="30">
        <f ca="1"/>
        <v>2.69E-5</v>
      </c>
      <c r="H115" s="30">
        <f ca="1"/>
        <v>2.4649999999999999E-5</v>
      </c>
      <c r="I115" s="30">
        <f ca="1"/>
        <v>2.601E-5</v>
      </c>
      <c r="J115" s="34">
        <f ca="1"/>
        <v>1522811.08</v>
      </c>
      <c r="K115" s="34">
        <f ca="1"/>
        <v>39.590000000000003</v>
      </c>
    </row>
    <row r="116" spans="4:11" x14ac:dyDescent="0.3">
      <c r="D116" s="29">
        <f ca="1"/>
        <v>1514728800</v>
      </c>
      <c r="E116" s="33">
        <f ca="1"/>
        <v>43100.583333333336</v>
      </c>
      <c r="F116" s="30">
        <f ca="1"/>
        <v>2.601E-5</v>
      </c>
      <c r="G116" s="30">
        <f ca="1"/>
        <v>2.62E-5</v>
      </c>
      <c r="H116" s="30">
        <f ca="1"/>
        <v>2.5219999999999999E-5</v>
      </c>
      <c r="I116" s="30">
        <f ca="1"/>
        <v>2.548E-5</v>
      </c>
      <c r="J116" s="34">
        <f ca="1"/>
        <v>1263137.21</v>
      </c>
      <c r="K116" s="34">
        <f ca="1"/>
        <v>32.630000000000003</v>
      </c>
    </row>
    <row r="117" spans="4:11" x14ac:dyDescent="0.3">
      <c r="D117" s="29">
        <f ca="1"/>
        <v>1514736000</v>
      </c>
      <c r="E117" s="33">
        <f ca="1"/>
        <v>43100.666666666664</v>
      </c>
      <c r="F117" s="30">
        <f ca="1"/>
        <v>2.548E-5</v>
      </c>
      <c r="G117" s="30">
        <f ca="1"/>
        <v>2.6800000000000001E-5</v>
      </c>
      <c r="H117" s="30">
        <f ca="1"/>
        <v>2.4000000000000001E-5</v>
      </c>
      <c r="I117" s="30">
        <f ca="1"/>
        <v>2.65E-5</v>
      </c>
      <c r="J117" s="34">
        <f ca="1"/>
        <v>2317324.64</v>
      </c>
      <c r="K117" s="34">
        <f ca="1"/>
        <v>58.39</v>
      </c>
    </row>
    <row r="118" spans="4:11" x14ac:dyDescent="0.3">
      <c r="D118" s="29">
        <f ca="1"/>
        <v>1514743200</v>
      </c>
      <c r="E118" s="33">
        <f ca="1"/>
        <v>43100.75</v>
      </c>
      <c r="F118" s="30">
        <f ca="1"/>
        <v>2.65E-5</v>
      </c>
      <c r="G118" s="30">
        <f ca="1"/>
        <v>2.6950000000000001E-5</v>
      </c>
      <c r="H118" s="30">
        <f ca="1"/>
        <v>2.5000000000000001E-5</v>
      </c>
      <c r="I118" s="30">
        <f ca="1"/>
        <v>2.586E-5</v>
      </c>
      <c r="J118" s="34">
        <f ca="1"/>
        <v>1534741.09</v>
      </c>
      <c r="K118" s="34">
        <f ca="1"/>
        <v>39.92</v>
      </c>
    </row>
    <row r="119" spans="4:11" x14ac:dyDescent="0.3">
      <c r="D119" s="29">
        <f ca="1"/>
        <v>1514750400</v>
      </c>
      <c r="E119" s="33">
        <f ca="1"/>
        <v>43100.833333333336</v>
      </c>
      <c r="F119" s="30">
        <f ca="1"/>
        <v>2.586E-5</v>
      </c>
      <c r="G119" s="30">
        <f ca="1"/>
        <v>2.6279999999999999E-5</v>
      </c>
      <c r="H119" s="30">
        <f ca="1"/>
        <v>2.4830000000000001E-5</v>
      </c>
      <c r="I119" s="30">
        <f ca="1"/>
        <v>2.5829999999999998E-5</v>
      </c>
      <c r="J119" s="34">
        <f ca="1"/>
        <v>848446.49</v>
      </c>
      <c r="K119" s="34">
        <f ca="1"/>
        <v>21.61</v>
      </c>
    </row>
    <row r="120" spans="4:11" x14ac:dyDescent="0.3">
      <c r="D120" s="29">
        <f ca="1"/>
        <v>1514757600</v>
      </c>
      <c r="E120" s="33">
        <f ca="1"/>
        <v>43100.916666666664</v>
      </c>
      <c r="F120" s="30">
        <f ca="1"/>
        <v>2.5829999999999998E-5</v>
      </c>
      <c r="G120" s="30">
        <f ca="1"/>
        <v>2.65E-5</v>
      </c>
      <c r="H120" s="30">
        <f ca="1"/>
        <v>2.5299999999999998E-5</v>
      </c>
      <c r="I120" s="30">
        <f ca="1"/>
        <v>2.6400000000000001E-5</v>
      </c>
      <c r="J120" s="34">
        <f ca="1"/>
        <v>905314.75</v>
      </c>
      <c r="K120" s="34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127</v>
      </c>
    </row>
    <row r="3" spans="3:11" x14ac:dyDescent="0.3">
      <c r="C3" s="36" t="s">
        <v>176</v>
      </c>
      <c r="D3" s="1" t="s">
        <v>173</v>
      </c>
    </row>
    <row r="4" spans="3:11" x14ac:dyDescent="0.3">
      <c r="C4" s="36" t="s">
        <v>65</v>
      </c>
      <c r="D4" s="1" t="s">
        <v>128</v>
      </c>
    </row>
    <row r="5" spans="3:11" x14ac:dyDescent="0.3">
      <c r="C5" s="36" t="s">
        <v>43</v>
      </c>
      <c r="D5" s="1" t="s">
        <v>129</v>
      </c>
    </row>
    <row r="6" spans="3:11" x14ac:dyDescent="0.3">
      <c r="C6" s="36" t="s">
        <v>171</v>
      </c>
      <c r="D6" s="1" t="s">
        <v>144</v>
      </c>
      <c r="K6" t="s">
        <v>145</v>
      </c>
    </row>
    <row r="7" spans="3:11" x14ac:dyDescent="0.3">
      <c r="C7" s="36">
        <v>5</v>
      </c>
      <c r="D7" s="1" t="s">
        <v>146</v>
      </c>
    </row>
    <row r="8" spans="3:11" x14ac:dyDescent="0.3">
      <c r="C8" s="37"/>
      <c r="D8" s="1" t="s">
        <v>147</v>
      </c>
    </row>
    <row r="9" spans="3:11" x14ac:dyDescent="0.3">
      <c r="C9" s="36"/>
      <c r="D9" s="1" t="s">
        <v>130</v>
      </c>
    </row>
    <row r="11" spans="3:11" x14ac:dyDescent="0.3">
      <c r="D11" s="16"/>
    </row>
    <row r="12" spans="3:11" x14ac:dyDescent="0.3">
      <c r="C12" s="11" t="s">
        <v>168</v>
      </c>
      <c r="D12" s="11"/>
      <c r="E12" s="11"/>
      <c r="F12" s="11"/>
      <c r="G12" s="11"/>
      <c r="H12" s="11"/>
    </row>
    <row r="13" spans="3:11" x14ac:dyDescent="0.3">
      <c r="C13" t="s">
        <v>8</v>
      </c>
      <c r="D13" t="s">
        <v>169</v>
      </c>
      <c r="E13" t="s">
        <v>170</v>
      </c>
      <c r="F13" t="s">
        <v>172</v>
      </c>
    </row>
    <row r="14" spans="3:11" x14ac:dyDescent="0.3">
      <c r="C14" s="35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35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35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35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35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35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35"/>
    </row>
    <row r="21" spans="3:6" x14ac:dyDescent="0.3">
      <c r="C21" s="35"/>
    </row>
    <row r="22" spans="3:6" x14ac:dyDescent="0.3">
      <c r="C22" s="35"/>
    </row>
    <row r="23" spans="3:6" x14ac:dyDescent="0.3">
      <c r="C23" s="35"/>
    </row>
    <row r="24" spans="3:6" x14ac:dyDescent="0.3">
      <c r="C24" s="35"/>
    </row>
    <row r="25" spans="3:6" x14ac:dyDescent="0.3">
      <c r="C25" s="35"/>
    </row>
    <row r="26" spans="3:6" x14ac:dyDescent="0.3">
      <c r="C26" s="35"/>
    </row>
    <row r="27" spans="3:6" x14ac:dyDescent="0.3">
      <c r="C27" s="35"/>
    </row>
    <row r="28" spans="3:6" x14ac:dyDescent="0.3">
      <c r="C28" s="35"/>
    </row>
    <row r="29" spans="3:6" x14ac:dyDescent="0.3">
      <c r="C29" s="35"/>
    </row>
    <row r="30" spans="3:6" x14ac:dyDescent="0.3">
      <c r="C30" s="35"/>
    </row>
    <row r="31" spans="3:6" x14ac:dyDescent="0.3">
      <c r="C31" s="35"/>
    </row>
    <row r="32" spans="3:6" x14ac:dyDescent="0.3">
      <c r="C32" s="35"/>
    </row>
    <row r="33" spans="3:3" x14ac:dyDescent="0.3">
      <c r="C33" s="35"/>
    </row>
    <row r="34" spans="3:3" x14ac:dyDescent="0.3">
      <c r="C34" s="35"/>
    </row>
    <row r="35" spans="3:3" x14ac:dyDescent="0.3">
      <c r="C35" s="35"/>
    </row>
    <row r="36" spans="3:3" x14ac:dyDescent="0.3">
      <c r="C36" s="35"/>
    </row>
    <row r="37" spans="3:3" x14ac:dyDescent="0.3">
      <c r="C37" s="35"/>
    </row>
    <row r="38" spans="3:3" x14ac:dyDescent="0.3">
      <c r="C38" s="35"/>
    </row>
    <row r="39" spans="3:3" x14ac:dyDescent="0.3">
      <c r="C39" s="35"/>
    </row>
    <row r="40" spans="3:3" x14ac:dyDescent="0.3">
      <c r="C40" s="35"/>
    </row>
    <row r="41" spans="3:3" x14ac:dyDescent="0.3">
      <c r="C41" s="35"/>
    </row>
    <row r="42" spans="3:3" x14ac:dyDescent="0.3">
      <c r="C42" s="35"/>
    </row>
    <row r="43" spans="3:3" x14ac:dyDescent="0.3">
      <c r="C43" s="35"/>
    </row>
    <row r="44" spans="3:3" x14ac:dyDescent="0.3">
      <c r="C44" s="35"/>
    </row>
    <row r="45" spans="3:3" x14ac:dyDescent="0.3">
      <c r="C45" s="3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D27" sqref="D27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56</v>
      </c>
      <c r="C2" s="2" t="s">
        <v>25</v>
      </c>
    </row>
    <row r="3" spans="2:6" x14ac:dyDescent="0.3">
      <c r="B3" s="1" t="s">
        <v>57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ht="15" thickBot="1" x14ac:dyDescent="0.35">
      <c r="B7" s="6">
        <v>1</v>
      </c>
      <c r="C7" s="7" t="s">
        <v>19</v>
      </c>
      <c r="D7" s="7" t="s">
        <v>58</v>
      </c>
      <c r="E7" s="21">
        <v>1513850504147</v>
      </c>
      <c r="F7" s="8" t="s">
        <v>22</v>
      </c>
    </row>
    <row r="10" spans="2:6" ht="15" thickBot="1" x14ac:dyDescent="0.35">
      <c r="B10" s="11" t="s">
        <v>24</v>
      </c>
      <c r="D10" s="11" t="s">
        <v>59</v>
      </c>
      <c r="E10" s="11"/>
    </row>
    <row r="11" spans="2:6" x14ac:dyDescent="0.3">
      <c r="B11" s="18" t="s">
        <v>58</v>
      </c>
      <c r="D11" s="13" t="s">
        <v>66</v>
      </c>
      <c r="E11" s="15" t="s">
        <v>60</v>
      </c>
    </row>
    <row r="12" spans="2:6" ht="15" thickBot="1" x14ac:dyDescent="0.35">
      <c r="B12" s="19">
        <v>1513850504147</v>
      </c>
      <c r="D12" s="17">
        <v>1513854104300</v>
      </c>
      <c r="E12" s="20">
        <f>B12-D12</f>
        <v>-3600153</v>
      </c>
    </row>
    <row r="16" spans="2:6" x14ac:dyDescent="0.3">
      <c r="B16" s="11" t="s">
        <v>67</v>
      </c>
      <c r="C16" s="11"/>
      <c r="D16" s="11"/>
    </row>
    <row r="17" spans="2:6" x14ac:dyDescent="0.3">
      <c r="B17" t="s">
        <v>1</v>
      </c>
      <c r="C17" t="s">
        <v>6</v>
      </c>
      <c r="D17" t="s">
        <v>10</v>
      </c>
      <c r="E17" t="s">
        <v>62</v>
      </c>
      <c r="F17" t="s">
        <v>63</v>
      </c>
    </row>
    <row r="18" spans="2:6" x14ac:dyDescent="0.3">
      <c r="B18" t="s">
        <v>61</v>
      </c>
      <c r="C18">
        <v>1</v>
      </c>
      <c r="D18" t="s">
        <v>43</v>
      </c>
      <c r="E18">
        <v>0</v>
      </c>
      <c r="F18">
        <v>0</v>
      </c>
    </row>
    <row r="19" spans="2:6" x14ac:dyDescent="0.3">
      <c r="B19" t="s">
        <v>61</v>
      </c>
      <c r="C19">
        <v>2</v>
      </c>
      <c r="D19" t="s">
        <v>64</v>
      </c>
      <c r="E19">
        <v>0</v>
      </c>
      <c r="F19">
        <v>0</v>
      </c>
    </row>
    <row r="20" spans="2:6" x14ac:dyDescent="0.3">
      <c r="B20" t="s">
        <v>61</v>
      </c>
      <c r="C20">
        <v>3</v>
      </c>
      <c r="D20" t="s">
        <v>65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Blad2"/>
  <dimension ref="B1:C3"/>
  <sheetViews>
    <sheetView workbookViewId="0">
      <selection activeCell="B1" sqref="B1"/>
    </sheetView>
  </sheetViews>
  <sheetFormatPr defaultRowHeight="14.4" x14ac:dyDescent="0.3"/>
  <cols>
    <col min="2" max="2" width="16.77734375" bestFit="1" customWidth="1"/>
  </cols>
  <sheetData>
    <row r="1" spans="2:3" x14ac:dyDescent="0.3">
      <c r="B1" t="s">
        <v>186</v>
      </c>
    </row>
    <row r="2" spans="2:3" x14ac:dyDescent="0.3">
      <c r="B2" s="1" t="s">
        <v>184</v>
      </c>
      <c r="C2" s="2" t="s">
        <v>25</v>
      </c>
    </row>
    <row r="3" spans="2:3" x14ac:dyDescent="0.3">
      <c r="B3" s="1" t="s">
        <v>185</v>
      </c>
      <c r="C3" s="2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E29" sqref="E29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35</v>
      </c>
      <c r="C2" s="2" t="s">
        <v>25</v>
      </c>
    </row>
    <row r="3" spans="2:6" x14ac:dyDescent="0.3">
      <c r="B3" s="1" t="s">
        <v>36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13" t="s">
        <v>14</v>
      </c>
      <c r="C6" s="14" t="s">
        <v>15</v>
      </c>
      <c r="D6" s="14" t="s">
        <v>16</v>
      </c>
      <c r="E6" s="14" t="s">
        <v>17</v>
      </c>
      <c r="F6" s="15" t="s">
        <v>18</v>
      </c>
    </row>
    <row r="7" spans="2:6" x14ac:dyDescent="0.3">
      <c r="B7" s="10">
        <v>1</v>
      </c>
      <c r="C7" t="s">
        <v>19</v>
      </c>
      <c r="D7" t="s">
        <v>37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38</v>
      </c>
      <c r="F8" s="9" t="s">
        <v>22</v>
      </c>
    </row>
    <row r="9" spans="2:6" x14ac:dyDescent="0.3">
      <c r="B9" s="10">
        <v>1</v>
      </c>
      <c r="C9" t="s">
        <v>19</v>
      </c>
      <c r="D9" t="s">
        <v>4</v>
      </c>
      <c r="E9">
        <v>3</v>
      </c>
      <c r="F9" s="9" t="s">
        <v>21</v>
      </c>
    </row>
    <row r="10" spans="2:6" x14ac:dyDescent="0.3">
      <c r="B10" s="10">
        <v>2</v>
      </c>
      <c r="C10" t="s">
        <v>4</v>
      </c>
      <c r="D10" t="s">
        <v>39</v>
      </c>
      <c r="E10">
        <v>4.7E-7</v>
      </c>
      <c r="F10" s="9" t="s">
        <v>22</v>
      </c>
    </row>
    <row r="11" spans="2:6" x14ac:dyDescent="0.3">
      <c r="B11" s="10">
        <v>2</v>
      </c>
      <c r="C11" t="s">
        <v>4</v>
      </c>
      <c r="D11" t="s">
        <v>40</v>
      </c>
      <c r="E11">
        <v>4.7999999999999996E-7</v>
      </c>
      <c r="F11" s="9" t="s">
        <v>22</v>
      </c>
    </row>
    <row r="12" spans="2:6" ht="15" thickBot="1" x14ac:dyDescent="0.35">
      <c r="B12" s="6">
        <v>2</v>
      </c>
      <c r="C12" s="7" t="s">
        <v>4</v>
      </c>
      <c r="D12" s="7" t="s">
        <v>41</v>
      </c>
      <c r="E12" s="7">
        <v>4.7999999999999996E-7</v>
      </c>
      <c r="F12" s="8" t="s">
        <v>22</v>
      </c>
    </row>
    <row r="15" spans="2:6" ht="15" thickBot="1" x14ac:dyDescent="0.35">
      <c r="B15" s="11" t="s">
        <v>4</v>
      </c>
      <c r="C15" s="12"/>
      <c r="D15" s="12"/>
      <c r="E15" s="12"/>
    </row>
    <row r="16" spans="2:6" x14ac:dyDescent="0.3">
      <c r="B16" s="13" t="s">
        <v>1</v>
      </c>
      <c r="C16" s="14" t="s">
        <v>39</v>
      </c>
      <c r="D16" s="14" t="s">
        <v>40</v>
      </c>
      <c r="E16" s="15" t="s">
        <v>41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1" t="s">
        <v>48</v>
      </c>
      <c r="C21" s="11"/>
      <c r="D21" s="11"/>
    </row>
    <row r="22" spans="2:8" x14ac:dyDescent="0.3">
      <c r="B22" t="s">
        <v>1</v>
      </c>
      <c r="C22" t="s">
        <v>6</v>
      </c>
      <c r="D22" t="s">
        <v>42</v>
      </c>
      <c r="E22" t="s">
        <v>44</v>
      </c>
      <c r="F22" t="s">
        <v>45</v>
      </c>
      <c r="G22" t="s">
        <v>46</v>
      </c>
      <c r="H22" t="s">
        <v>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C29" sqref="C29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16"/>
    </row>
    <row r="2" spans="2:3" x14ac:dyDescent="0.3">
      <c r="B2" s="1" t="s">
        <v>51</v>
      </c>
      <c r="C2" s="2" t="s">
        <v>25</v>
      </c>
    </row>
    <row r="3" spans="2:3" x14ac:dyDescent="0.3">
      <c r="B3" s="1" t="s">
        <v>52</v>
      </c>
      <c r="C3" s="2" t="s">
        <v>26</v>
      </c>
    </row>
    <row r="5" spans="2:3" x14ac:dyDescent="0.3">
      <c r="C5" t="s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Blad9"/>
  <dimension ref="B1:C5"/>
  <sheetViews>
    <sheetView workbookViewId="0">
      <selection activeCell="C3" sqref="C3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16"/>
    </row>
    <row r="2" spans="2:3" x14ac:dyDescent="0.3">
      <c r="B2" s="1" t="s">
        <v>187</v>
      </c>
      <c r="C2" s="2" t="s">
        <v>25</v>
      </c>
    </row>
    <row r="3" spans="2:3" x14ac:dyDescent="0.3">
      <c r="B3" s="1" t="s">
        <v>188</v>
      </c>
      <c r="C3" s="2" t="s">
        <v>26</v>
      </c>
    </row>
    <row r="5" spans="2:3" x14ac:dyDescent="0.3">
      <c r="C5" t="s">
        <v>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54</v>
      </c>
      <c r="C2" s="2" t="s">
        <v>25</v>
      </c>
    </row>
    <row r="3" spans="2:6" x14ac:dyDescent="0.3">
      <c r="B3" s="1" t="s">
        <v>55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82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83</v>
      </c>
      <c r="F8" s="9" t="s">
        <v>22</v>
      </c>
    </row>
    <row r="9" spans="2:6" x14ac:dyDescent="0.3">
      <c r="B9" s="10">
        <v>1</v>
      </c>
      <c r="C9" t="s">
        <v>19</v>
      </c>
      <c r="D9" t="s">
        <v>84</v>
      </c>
      <c r="E9">
        <v>16</v>
      </c>
      <c r="F9" s="9" t="s">
        <v>21</v>
      </c>
    </row>
    <row r="10" spans="2:6" x14ac:dyDescent="0.3">
      <c r="B10" s="10">
        <v>2</v>
      </c>
      <c r="C10" t="s">
        <v>84</v>
      </c>
      <c r="D10" t="s">
        <v>85</v>
      </c>
      <c r="E10">
        <v>100</v>
      </c>
      <c r="F10" s="9" t="s">
        <v>22</v>
      </c>
    </row>
    <row r="11" spans="2:6" x14ac:dyDescent="0.3">
      <c r="B11" s="10">
        <v>2</v>
      </c>
      <c r="C11" t="s">
        <v>84</v>
      </c>
      <c r="D11" t="s">
        <v>86</v>
      </c>
      <c r="E11" t="s">
        <v>87</v>
      </c>
      <c r="F11" s="9" t="s">
        <v>22</v>
      </c>
    </row>
    <row r="12" spans="2:6" x14ac:dyDescent="0.3">
      <c r="B12" s="10">
        <v>2</v>
      </c>
      <c r="C12" t="s">
        <v>84</v>
      </c>
      <c r="D12" t="s">
        <v>88</v>
      </c>
      <c r="E12">
        <v>3.8600000000000003E-6</v>
      </c>
      <c r="F12" s="9" t="s">
        <v>22</v>
      </c>
    </row>
    <row r="13" spans="2:6" x14ac:dyDescent="0.3">
      <c r="B13" s="10">
        <v>2</v>
      </c>
      <c r="C13" t="s">
        <v>84</v>
      </c>
      <c r="D13" t="s">
        <v>89</v>
      </c>
      <c r="E13">
        <v>3.7799999999999998E-6</v>
      </c>
      <c r="F13" s="9" t="s">
        <v>22</v>
      </c>
    </row>
    <row r="14" spans="2:6" x14ac:dyDescent="0.3">
      <c r="B14" s="10">
        <v>2</v>
      </c>
      <c r="C14" t="s">
        <v>84</v>
      </c>
      <c r="D14" t="s">
        <v>90</v>
      </c>
      <c r="E14">
        <v>3.6600000000000001E-6</v>
      </c>
      <c r="F14" s="9" t="s">
        <v>22</v>
      </c>
    </row>
    <row r="15" spans="2:6" x14ac:dyDescent="0.3">
      <c r="B15" s="10">
        <v>2</v>
      </c>
      <c r="C15" t="s">
        <v>84</v>
      </c>
      <c r="D15" t="s">
        <v>91</v>
      </c>
      <c r="E15">
        <v>4.6999999999999999E-6</v>
      </c>
      <c r="F15" s="9" t="s">
        <v>22</v>
      </c>
    </row>
    <row r="16" spans="2:6" x14ac:dyDescent="0.3">
      <c r="B16" s="10">
        <v>2</v>
      </c>
      <c r="C16" t="s">
        <v>84</v>
      </c>
      <c r="D16" t="s">
        <v>92</v>
      </c>
      <c r="E16">
        <v>9524025.7817439195</v>
      </c>
      <c r="F16" s="9" t="s">
        <v>22</v>
      </c>
    </row>
    <row r="17" spans="2:18" x14ac:dyDescent="0.3">
      <c r="B17" s="10">
        <v>2</v>
      </c>
      <c r="C17" t="s">
        <v>84</v>
      </c>
      <c r="D17" t="s">
        <v>93</v>
      </c>
      <c r="E17">
        <v>3.8700000000000002E-6</v>
      </c>
      <c r="F17" s="9" t="s">
        <v>22</v>
      </c>
    </row>
    <row r="18" spans="2:18" x14ac:dyDescent="0.3">
      <c r="B18" s="10">
        <v>2</v>
      </c>
      <c r="C18" t="s">
        <v>84</v>
      </c>
      <c r="D18" t="s">
        <v>94</v>
      </c>
      <c r="E18">
        <v>82909792.148581594</v>
      </c>
      <c r="F18" s="9" t="s">
        <v>22</v>
      </c>
    </row>
    <row r="19" spans="2:18" x14ac:dyDescent="0.3">
      <c r="B19" s="10">
        <v>2</v>
      </c>
      <c r="C19" t="s">
        <v>84</v>
      </c>
      <c r="D19" t="s">
        <v>95</v>
      </c>
      <c r="E19">
        <v>31725991.532281999</v>
      </c>
      <c r="F19" s="9" t="s">
        <v>22</v>
      </c>
    </row>
    <row r="20" spans="2:18" x14ac:dyDescent="0.3">
      <c r="B20" s="10">
        <v>2</v>
      </c>
      <c r="C20" t="s">
        <v>84</v>
      </c>
      <c r="D20" t="s">
        <v>96</v>
      </c>
      <c r="E20">
        <v>-16.77</v>
      </c>
      <c r="F20" s="9" t="s">
        <v>22</v>
      </c>
    </row>
    <row r="21" spans="2:18" x14ac:dyDescent="0.3">
      <c r="B21" s="10">
        <v>2</v>
      </c>
      <c r="C21" t="s">
        <v>84</v>
      </c>
      <c r="D21" t="s">
        <v>97</v>
      </c>
      <c r="E21">
        <v>4.6500000000000004E-6</v>
      </c>
      <c r="F21" s="9" t="s">
        <v>22</v>
      </c>
    </row>
    <row r="22" spans="2:18" x14ac:dyDescent="0.3">
      <c r="B22" s="10">
        <v>2</v>
      </c>
      <c r="C22" t="s">
        <v>84</v>
      </c>
      <c r="D22" t="s">
        <v>98</v>
      </c>
      <c r="E22">
        <v>3.8700000000000002E-6</v>
      </c>
      <c r="F22" s="9" t="s">
        <v>22</v>
      </c>
    </row>
    <row r="23" spans="2:18" x14ac:dyDescent="0.3">
      <c r="B23" s="10">
        <v>2</v>
      </c>
      <c r="C23" t="s">
        <v>84</v>
      </c>
      <c r="D23" t="s">
        <v>99</v>
      </c>
      <c r="E23">
        <v>40.124879909999997</v>
      </c>
      <c r="F23" s="9" t="s">
        <v>22</v>
      </c>
    </row>
    <row r="24" spans="2:18" x14ac:dyDescent="0.3">
      <c r="B24" s="10">
        <v>2</v>
      </c>
      <c r="C24" t="s">
        <v>84</v>
      </c>
      <c r="D24" t="s">
        <v>100</v>
      </c>
      <c r="E24">
        <v>50.745885250000001</v>
      </c>
      <c r="F24" s="9" t="s">
        <v>22</v>
      </c>
    </row>
    <row r="25" spans="2:18" x14ac:dyDescent="0.3">
      <c r="B25" s="10">
        <v>2</v>
      </c>
      <c r="C25" t="s">
        <v>84</v>
      </c>
      <c r="D25" t="s">
        <v>101</v>
      </c>
      <c r="E25">
        <v>512228520.15282297</v>
      </c>
      <c r="F25" s="9" t="s">
        <v>22</v>
      </c>
    </row>
    <row r="26" spans="2:18" ht="15" thickBot="1" x14ac:dyDescent="0.35">
      <c r="B26" s="6">
        <v>1</v>
      </c>
      <c r="C26" s="7" t="s">
        <v>19</v>
      </c>
      <c r="D26" s="7" t="s">
        <v>102</v>
      </c>
      <c r="E26" s="7"/>
      <c r="F26" s="8" t="s">
        <v>22</v>
      </c>
    </row>
    <row r="29" spans="2:18" ht="15" thickBot="1" x14ac:dyDescent="0.35">
      <c r="B29" s="11" t="s">
        <v>24</v>
      </c>
      <c r="C29" s="12"/>
      <c r="D29" s="12"/>
    </row>
    <row r="30" spans="2:18" x14ac:dyDescent="0.3">
      <c r="B30" s="13" t="s">
        <v>1</v>
      </c>
      <c r="C30" s="14" t="s">
        <v>85</v>
      </c>
      <c r="D30" s="14" t="s">
        <v>86</v>
      </c>
      <c r="E30" s="14" t="s">
        <v>88</v>
      </c>
      <c r="F30" s="4" t="s">
        <v>89</v>
      </c>
      <c r="G30" s="4" t="s">
        <v>90</v>
      </c>
      <c r="H30" s="4" t="s">
        <v>91</v>
      </c>
      <c r="I30" s="4" t="s">
        <v>92</v>
      </c>
      <c r="J30" s="4" t="s">
        <v>93</v>
      </c>
      <c r="K30" s="4" t="s">
        <v>94</v>
      </c>
      <c r="L30" s="4" t="s">
        <v>95</v>
      </c>
      <c r="M30" s="4" t="s">
        <v>96</v>
      </c>
      <c r="N30" s="4" t="s">
        <v>97</v>
      </c>
      <c r="O30" s="4" t="s">
        <v>98</v>
      </c>
      <c r="P30" s="4" t="s">
        <v>99</v>
      </c>
      <c r="Q30" s="4" t="s">
        <v>100</v>
      </c>
      <c r="R30" s="5" t="s">
        <v>101</v>
      </c>
    </row>
    <row r="31" spans="2:18" ht="15" thickBot="1" x14ac:dyDescent="0.35">
      <c r="B31" s="6" t="s">
        <v>84</v>
      </c>
      <c r="C31" s="7">
        <v>100</v>
      </c>
      <c r="D31" s="7" t="s">
        <v>87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1" t="s">
        <v>113</v>
      </c>
      <c r="C34" s="11"/>
      <c r="D34" s="11"/>
    </row>
    <row r="35" spans="2:14" x14ac:dyDescent="0.3">
      <c r="B35" t="s">
        <v>1</v>
      </c>
      <c r="C35" t="s">
        <v>6</v>
      </c>
      <c r="D35" t="s">
        <v>103</v>
      </c>
      <c r="E35" t="s">
        <v>104</v>
      </c>
      <c r="F35" t="s">
        <v>105</v>
      </c>
      <c r="G35" t="s">
        <v>45</v>
      </c>
      <c r="H35" t="s">
        <v>106</v>
      </c>
      <c r="I35" t="s">
        <v>107</v>
      </c>
      <c r="J35" t="s">
        <v>108</v>
      </c>
      <c r="K35" t="s">
        <v>109</v>
      </c>
      <c r="L35" t="s">
        <v>110</v>
      </c>
      <c r="M35" t="s">
        <v>111</v>
      </c>
      <c r="N35" t="s">
        <v>112</v>
      </c>
    </row>
    <row r="36" spans="2:14" x14ac:dyDescent="0.3">
      <c r="B36" t="b">
        <v>0</v>
      </c>
      <c r="C36" t="s">
        <v>114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Blad10"/>
  <dimension ref="A1"/>
  <sheetViews>
    <sheetView tabSelected="1" workbookViewId="0">
      <selection activeCell="H20" sqref="H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C29" sqref="C29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20</v>
      </c>
      <c r="E7">
        <v>0</v>
      </c>
      <c r="F7" s="9" t="s">
        <v>21</v>
      </c>
    </row>
    <row r="8" spans="2:6" x14ac:dyDescent="0.3">
      <c r="B8" s="10">
        <v>1</v>
      </c>
      <c r="C8" t="s">
        <v>19</v>
      </c>
      <c r="D8" t="s">
        <v>4</v>
      </c>
      <c r="E8">
        <v>2</v>
      </c>
      <c r="F8" s="9" t="s">
        <v>21</v>
      </c>
    </row>
    <row r="9" spans="2:6" x14ac:dyDescent="0.3">
      <c r="B9" s="10">
        <v>2</v>
      </c>
      <c r="C9" t="s">
        <v>4</v>
      </c>
      <c r="D9" t="s">
        <v>2</v>
      </c>
      <c r="E9">
        <v>1517487335</v>
      </c>
      <c r="F9" s="9" t="s">
        <v>22</v>
      </c>
    </row>
    <row r="10" spans="2:6" ht="15" thickBot="1" x14ac:dyDescent="0.35">
      <c r="B10" s="6">
        <v>2</v>
      </c>
      <c r="C10" s="7" t="s">
        <v>4</v>
      </c>
      <c r="D10" s="7" t="s">
        <v>3</v>
      </c>
      <c r="E10" s="7" t="s">
        <v>165</v>
      </c>
      <c r="F10" s="8" t="s">
        <v>22</v>
      </c>
    </row>
    <row r="13" spans="2:6" ht="15" thickBot="1" x14ac:dyDescent="0.35">
      <c r="B13" s="11" t="s">
        <v>24</v>
      </c>
      <c r="C13" s="12"/>
      <c r="D13" s="12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165</v>
      </c>
    </row>
    <row r="19" spans="2:3" x14ac:dyDescent="0.3">
      <c r="B19" s="11" t="s">
        <v>164</v>
      </c>
      <c r="C19" s="11"/>
    </row>
    <row r="20" spans="2:3" x14ac:dyDescent="0.3">
      <c r="B20" t="s">
        <v>1</v>
      </c>
      <c r="C20" t="s">
        <v>4</v>
      </c>
    </row>
    <row r="21" spans="2:3" x14ac:dyDescent="0.3">
      <c r="B21" t="s">
        <v>161</v>
      </c>
      <c r="C21">
        <v>0</v>
      </c>
    </row>
    <row r="22" spans="2:3" x14ac:dyDescent="0.3">
      <c r="B22" t="s">
        <v>162</v>
      </c>
      <c r="C22">
        <v>21776.44</v>
      </c>
    </row>
    <row r="23" spans="2:3" x14ac:dyDescent="0.3">
      <c r="B23" t="s">
        <v>163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L34"/>
  <sheetViews>
    <sheetView zoomScale="85" zoomScaleNormal="85" workbookViewId="0">
      <selection activeCell="G29" sqref="G29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26.21875" bestFit="1" customWidth="1"/>
    <col min="9" max="9" width="16.88671875" customWidth="1"/>
    <col min="10" max="12" width="20.6640625" customWidth="1"/>
  </cols>
  <sheetData>
    <row r="2" spans="2:6" x14ac:dyDescent="0.3">
      <c r="B2" s="1" t="s">
        <v>116</v>
      </c>
      <c r="C2" s="2" t="s">
        <v>25</v>
      </c>
    </row>
    <row r="3" spans="2:6" x14ac:dyDescent="0.3">
      <c r="B3" s="1" t="s">
        <v>117</v>
      </c>
      <c r="C3" s="2" t="s">
        <v>26</v>
      </c>
    </row>
    <row r="4" spans="2:6" x14ac:dyDescent="0.3">
      <c r="B4" s="1" t="s">
        <v>178</v>
      </c>
      <c r="C4" s="2" t="s">
        <v>179</v>
      </c>
    </row>
    <row r="6" spans="2:6" ht="15" thickBot="1" x14ac:dyDescent="0.35">
      <c r="B6" s="11" t="s">
        <v>14</v>
      </c>
      <c r="C6" s="12" t="s">
        <v>15</v>
      </c>
      <c r="D6" s="12" t="s">
        <v>16</v>
      </c>
      <c r="E6" s="12" t="s">
        <v>17</v>
      </c>
      <c r="F6" s="12" t="s">
        <v>18</v>
      </c>
    </row>
    <row r="7" spans="2:6" x14ac:dyDescent="0.3">
      <c r="B7" s="3">
        <v>1</v>
      </c>
      <c r="C7" s="4" t="s">
        <v>19</v>
      </c>
      <c r="D7" s="4" t="s">
        <v>151</v>
      </c>
      <c r="E7" s="4">
        <v>200000</v>
      </c>
      <c r="F7" s="5" t="s">
        <v>22</v>
      </c>
    </row>
    <row r="8" spans="2:6" x14ac:dyDescent="0.3">
      <c r="B8" s="10">
        <v>1</v>
      </c>
      <c r="C8" t="s">
        <v>19</v>
      </c>
      <c r="D8" t="s">
        <v>152</v>
      </c>
      <c r="E8">
        <v>10</v>
      </c>
      <c r="F8" s="9" t="s">
        <v>21</v>
      </c>
    </row>
    <row r="9" spans="2:6" x14ac:dyDescent="0.3">
      <c r="B9" s="10">
        <v>2</v>
      </c>
      <c r="C9" t="s">
        <v>152</v>
      </c>
      <c r="D9" t="s">
        <v>155</v>
      </c>
      <c r="E9" t="s">
        <v>180</v>
      </c>
      <c r="F9" s="9" t="s">
        <v>22</v>
      </c>
    </row>
    <row r="10" spans="2:6" x14ac:dyDescent="0.3">
      <c r="B10" s="10">
        <v>2</v>
      </c>
      <c r="C10" t="s">
        <v>152</v>
      </c>
      <c r="D10" t="s">
        <v>27</v>
      </c>
      <c r="E10">
        <v>3.736329E-2</v>
      </c>
      <c r="F10" s="9" t="s">
        <v>22</v>
      </c>
    </row>
    <row r="11" spans="2:6" x14ac:dyDescent="0.3">
      <c r="B11" s="10">
        <v>2</v>
      </c>
      <c r="C11" t="s">
        <v>152</v>
      </c>
      <c r="D11" t="s">
        <v>29</v>
      </c>
      <c r="E11">
        <v>2047.96100120304</v>
      </c>
      <c r="F11" s="9" t="s">
        <v>22</v>
      </c>
    </row>
    <row r="12" spans="2:6" x14ac:dyDescent="0.3">
      <c r="B12" s="10">
        <v>2</v>
      </c>
      <c r="C12" t="s">
        <v>152</v>
      </c>
      <c r="D12" t="s">
        <v>30</v>
      </c>
      <c r="E12">
        <v>3.7175039999999999E-2</v>
      </c>
      <c r="F12" s="9" t="s">
        <v>22</v>
      </c>
    </row>
    <row r="13" spans="2:6" x14ac:dyDescent="0.3">
      <c r="B13" s="10">
        <v>2</v>
      </c>
      <c r="C13" t="s">
        <v>152</v>
      </c>
      <c r="D13" t="s">
        <v>28</v>
      </c>
      <c r="E13">
        <v>3.651252E-2</v>
      </c>
      <c r="F13" s="9" t="s">
        <v>22</v>
      </c>
    </row>
    <row r="14" spans="2:6" x14ac:dyDescent="0.3">
      <c r="B14" s="10">
        <v>2</v>
      </c>
      <c r="C14" t="s">
        <v>152</v>
      </c>
      <c r="D14" t="s">
        <v>31</v>
      </c>
      <c r="E14">
        <v>3.7202190000000003E-2</v>
      </c>
      <c r="F14" s="9" t="s">
        <v>22</v>
      </c>
    </row>
    <row r="15" spans="2:6" x14ac:dyDescent="0.3">
      <c r="B15" s="10">
        <v>2</v>
      </c>
      <c r="C15" t="s">
        <v>152</v>
      </c>
      <c r="D15" t="s">
        <v>32</v>
      </c>
      <c r="E15">
        <v>3.7234679999999999E-2</v>
      </c>
      <c r="F15" s="9" t="s">
        <v>22</v>
      </c>
    </row>
    <row r="16" spans="2:6" x14ac:dyDescent="0.3">
      <c r="B16" s="10">
        <v>2</v>
      </c>
      <c r="C16" t="s">
        <v>152</v>
      </c>
      <c r="D16" t="s">
        <v>181</v>
      </c>
      <c r="E16">
        <v>4.1472999999999998E-4</v>
      </c>
      <c r="F16" s="9" t="s">
        <v>22</v>
      </c>
    </row>
    <row r="17" spans="2:12" x14ac:dyDescent="0.3">
      <c r="B17" s="10">
        <v>2</v>
      </c>
      <c r="C17" t="s">
        <v>152</v>
      </c>
      <c r="D17" t="s">
        <v>8</v>
      </c>
      <c r="E17" s="38">
        <v>1550852210559</v>
      </c>
      <c r="F17" s="9" t="s">
        <v>22</v>
      </c>
    </row>
    <row r="18" spans="2:12" ht="15" thickBot="1" x14ac:dyDescent="0.35">
      <c r="B18" s="6">
        <v>2</v>
      </c>
      <c r="C18" s="7" t="s">
        <v>152</v>
      </c>
      <c r="D18" s="7" t="s">
        <v>156</v>
      </c>
      <c r="E18" s="7">
        <v>1.12E-2</v>
      </c>
      <c r="F18" s="8" t="s">
        <v>22</v>
      </c>
    </row>
    <row r="22" spans="2:12" ht="15" thickBot="1" x14ac:dyDescent="0.35">
      <c r="B22" s="11" t="s">
        <v>24</v>
      </c>
      <c r="C22" s="11"/>
      <c r="D22" s="11"/>
    </row>
    <row r="23" spans="2:12" x14ac:dyDescent="0.3">
      <c r="B23" s="13" t="s">
        <v>1</v>
      </c>
      <c r="C23" s="14" t="s">
        <v>155</v>
      </c>
      <c r="D23" s="14" t="s">
        <v>27</v>
      </c>
      <c r="E23" s="14" t="s">
        <v>29</v>
      </c>
      <c r="F23" s="14" t="s">
        <v>30</v>
      </c>
      <c r="G23" s="14" t="s">
        <v>28</v>
      </c>
      <c r="H23" s="14" t="s">
        <v>31</v>
      </c>
      <c r="I23" s="14" t="s">
        <v>32</v>
      </c>
      <c r="J23" s="14" t="s">
        <v>181</v>
      </c>
      <c r="K23" s="14" t="s">
        <v>8</v>
      </c>
      <c r="L23" s="15" t="s">
        <v>156</v>
      </c>
    </row>
    <row r="24" spans="2:12" ht="15" thickBot="1" x14ac:dyDescent="0.35">
      <c r="B24" s="6" t="s">
        <v>152</v>
      </c>
      <c r="C24" s="7" t="s">
        <v>180</v>
      </c>
      <c r="D24" s="24">
        <v>3.736329E-2</v>
      </c>
      <c r="E24" s="24">
        <v>2047.96100120304</v>
      </c>
      <c r="F24" s="7">
        <v>3.7175039999999999E-2</v>
      </c>
      <c r="G24" s="7">
        <v>3.651252E-2</v>
      </c>
      <c r="H24" s="7">
        <v>3.7202190000000003E-2</v>
      </c>
      <c r="I24" s="7">
        <v>3.7234679999999999E-2</v>
      </c>
      <c r="J24" s="7">
        <v>4.1472999999999998E-4</v>
      </c>
      <c r="K24" s="21">
        <v>1550852210559</v>
      </c>
      <c r="L24" s="8">
        <v>1.12E-2</v>
      </c>
    </row>
    <row r="28" spans="2:12" x14ac:dyDescent="0.3">
      <c r="B28" s="11" t="s">
        <v>157</v>
      </c>
    </row>
    <row r="29" spans="2:12" x14ac:dyDescent="0.3">
      <c r="B29" t="s">
        <v>1</v>
      </c>
      <c r="C29" t="s">
        <v>6</v>
      </c>
      <c r="D29" t="s">
        <v>7</v>
      </c>
      <c r="E29" t="s">
        <v>153</v>
      </c>
      <c r="F29" t="s">
        <v>158</v>
      </c>
      <c r="G29" t="s">
        <v>159</v>
      </c>
      <c r="H29" t="s">
        <v>13</v>
      </c>
      <c r="I29" t="s">
        <v>160</v>
      </c>
    </row>
    <row r="30" spans="2:12" x14ac:dyDescent="0.3">
      <c r="B30" t="s">
        <v>152</v>
      </c>
      <c r="C30">
        <v>1</v>
      </c>
      <c r="D30">
        <v>13.218999999999999</v>
      </c>
      <c r="E30">
        <v>13.218999999999999</v>
      </c>
      <c r="F30">
        <v>0</v>
      </c>
      <c r="G30" t="s">
        <v>154</v>
      </c>
      <c r="H30" t="s">
        <v>183</v>
      </c>
      <c r="I30" t="s">
        <v>115</v>
      </c>
    </row>
    <row r="31" spans="2:12" x14ac:dyDescent="0.3">
      <c r="B31" t="s">
        <v>152</v>
      </c>
      <c r="C31">
        <v>2</v>
      </c>
      <c r="D31">
        <v>6.3422999999999993E-2</v>
      </c>
      <c r="E31">
        <v>6.3422999999999993E-2</v>
      </c>
      <c r="F31">
        <v>0</v>
      </c>
      <c r="G31" t="s">
        <v>177</v>
      </c>
      <c r="H31" t="s">
        <v>183</v>
      </c>
      <c r="I31" t="s">
        <v>115</v>
      </c>
    </row>
    <row r="32" spans="2:12" x14ac:dyDescent="0.3">
      <c r="B32" t="s">
        <v>152</v>
      </c>
      <c r="C32">
        <v>3</v>
      </c>
      <c r="D32">
        <v>9.0949000000000002E-2</v>
      </c>
      <c r="E32">
        <v>9.0949000000000002E-2</v>
      </c>
      <c r="F32">
        <v>0</v>
      </c>
      <c r="G32" t="s">
        <v>177</v>
      </c>
      <c r="H32" t="s">
        <v>183</v>
      </c>
      <c r="I32" t="s">
        <v>182</v>
      </c>
    </row>
    <row r="33" spans="2:9" x14ac:dyDescent="0.3">
      <c r="B33" t="s">
        <v>152</v>
      </c>
      <c r="C33">
        <v>4</v>
      </c>
      <c r="D33">
        <v>3.0296E-2</v>
      </c>
      <c r="E33">
        <v>3.0296E-2</v>
      </c>
      <c r="F33">
        <v>0</v>
      </c>
      <c r="G33" t="s">
        <v>167</v>
      </c>
      <c r="H33" t="s">
        <v>183</v>
      </c>
      <c r="I33" t="s">
        <v>115</v>
      </c>
    </row>
    <row r="34" spans="2:9" x14ac:dyDescent="0.3">
      <c r="B34" t="s">
        <v>152</v>
      </c>
      <c r="C34">
        <v>5</v>
      </c>
      <c r="D34">
        <v>0</v>
      </c>
      <c r="E34">
        <v>0</v>
      </c>
      <c r="F34">
        <v>0</v>
      </c>
      <c r="G34" t="s">
        <v>64</v>
      </c>
      <c r="H34" t="s">
        <v>183</v>
      </c>
      <c r="I34" t="s">
        <v>182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19" sqref="B19:D19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49</v>
      </c>
      <c r="C2" s="2" t="s">
        <v>25</v>
      </c>
    </row>
    <row r="3" spans="2:6" x14ac:dyDescent="0.3">
      <c r="B3" s="1" t="s">
        <v>50</v>
      </c>
      <c r="C3" s="2" t="s">
        <v>26</v>
      </c>
    </row>
    <row r="5" spans="2:6" ht="15" thickBot="1" x14ac:dyDescent="0.35">
      <c r="B5" s="11" t="s">
        <v>23</v>
      </c>
      <c r="C5" s="12"/>
      <c r="D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68</v>
      </c>
      <c r="E7">
        <v>1</v>
      </c>
      <c r="F7" s="9" t="s">
        <v>21</v>
      </c>
    </row>
    <row r="8" spans="2:6" x14ac:dyDescent="0.3">
      <c r="B8" s="10">
        <v>2</v>
      </c>
      <c r="C8" t="s">
        <v>68</v>
      </c>
      <c r="D8">
        <v>1</v>
      </c>
      <c r="E8">
        <v>2</v>
      </c>
      <c r="F8" s="9" t="s">
        <v>21</v>
      </c>
    </row>
    <row r="9" spans="2:6" x14ac:dyDescent="0.3">
      <c r="B9" s="10">
        <v>3</v>
      </c>
      <c r="C9">
        <v>1</v>
      </c>
      <c r="D9">
        <v>1</v>
      </c>
      <c r="E9">
        <v>4.9996770000000003E-2</v>
      </c>
      <c r="F9" s="9" t="s">
        <v>22</v>
      </c>
    </row>
    <row r="10" spans="2:6" x14ac:dyDescent="0.3">
      <c r="B10" s="10">
        <v>3</v>
      </c>
      <c r="C10">
        <v>1</v>
      </c>
      <c r="D10">
        <v>2</v>
      </c>
      <c r="E10">
        <v>4.9949746700000004</v>
      </c>
      <c r="F10" s="9" t="s">
        <v>22</v>
      </c>
    </row>
    <row r="11" spans="2:6" x14ac:dyDescent="0.3">
      <c r="B11" s="10">
        <v>1</v>
      </c>
      <c r="C11" t="s">
        <v>19</v>
      </c>
      <c r="D11" t="s">
        <v>69</v>
      </c>
      <c r="E11">
        <v>1</v>
      </c>
      <c r="F11" s="9" t="s">
        <v>21</v>
      </c>
    </row>
    <row r="12" spans="2:6" x14ac:dyDescent="0.3">
      <c r="B12" s="10">
        <v>2</v>
      </c>
      <c r="C12" t="s">
        <v>69</v>
      </c>
      <c r="D12">
        <v>1</v>
      </c>
      <c r="E12">
        <v>2</v>
      </c>
      <c r="F12" s="9" t="s">
        <v>21</v>
      </c>
    </row>
    <row r="13" spans="2:6" x14ac:dyDescent="0.3">
      <c r="B13" s="10">
        <v>3</v>
      </c>
      <c r="C13">
        <v>1</v>
      </c>
      <c r="D13">
        <v>1</v>
      </c>
      <c r="E13">
        <v>4.9885029999999997E-2</v>
      </c>
      <c r="F13" s="9" t="s">
        <v>22</v>
      </c>
    </row>
    <row r="14" spans="2:6" x14ac:dyDescent="0.3">
      <c r="B14" s="10">
        <v>3</v>
      </c>
      <c r="C14">
        <v>1</v>
      </c>
      <c r="D14">
        <v>2</v>
      </c>
      <c r="E14">
        <v>26.324120059999998</v>
      </c>
      <c r="F14" s="9" t="s">
        <v>22</v>
      </c>
    </row>
    <row r="15" spans="2:6" x14ac:dyDescent="0.3">
      <c r="B15" s="10">
        <v>1</v>
      </c>
      <c r="C15" t="s">
        <v>19</v>
      </c>
      <c r="D15" t="s">
        <v>70</v>
      </c>
      <c r="E15">
        <v>0</v>
      </c>
      <c r="F15" s="9" t="s">
        <v>22</v>
      </c>
    </row>
    <row r="16" spans="2:6" ht="15" thickBot="1" x14ac:dyDescent="0.35">
      <c r="B16" s="6">
        <v>1</v>
      </c>
      <c r="C16" s="7" t="s">
        <v>19</v>
      </c>
      <c r="D16" s="7" t="s">
        <v>71</v>
      </c>
      <c r="E16" s="7">
        <v>459077833</v>
      </c>
      <c r="F16" s="8" t="s">
        <v>22</v>
      </c>
    </row>
    <row r="19" spans="2:13" ht="15" thickBot="1" x14ac:dyDescent="0.35">
      <c r="B19" s="11" t="s">
        <v>24</v>
      </c>
      <c r="C19" s="11"/>
      <c r="D19" s="11"/>
    </row>
    <row r="20" spans="2:13" x14ac:dyDescent="0.3">
      <c r="B20" s="3" t="s">
        <v>1</v>
      </c>
      <c r="C20" s="4" t="s">
        <v>6</v>
      </c>
      <c r="D20" s="4" t="s">
        <v>72</v>
      </c>
      <c r="E20" s="5" t="s">
        <v>73</v>
      </c>
    </row>
    <row r="21" spans="2:13" x14ac:dyDescent="0.3">
      <c r="B21" s="10" t="s">
        <v>68</v>
      </c>
      <c r="C21">
        <v>1</v>
      </c>
      <c r="D21" s="22">
        <v>4.9996770000000003E-2</v>
      </c>
      <c r="E21" s="23">
        <v>4.9949746700000004</v>
      </c>
    </row>
    <row r="22" spans="2:13" ht="15" thickBot="1" x14ac:dyDescent="0.35">
      <c r="B22" s="6" t="s">
        <v>69</v>
      </c>
      <c r="C22" s="7">
        <v>1</v>
      </c>
      <c r="D22" s="24">
        <v>4.9885029999999997E-2</v>
      </c>
      <c r="E22" s="25">
        <v>26.324120059999998</v>
      </c>
    </row>
    <row r="25" spans="2:13" x14ac:dyDescent="0.3">
      <c r="B25" s="11" t="s">
        <v>74</v>
      </c>
    </row>
    <row r="26" spans="2:13" x14ac:dyDescent="0.3">
      <c r="B26" t="s">
        <v>1</v>
      </c>
      <c r="C26" t="s">
        <v>6</v>
      </c>
      <c r="D26" t="s">
        <v>77</v>
      </c>
      <c r="E26" t="s">
        <v>78</v>
      </c>
      <c r="F26" s="26" t="s">
        <v>34</v>
      </c>
      <c r="G26" t="s">
        <v>33</v>
      </c>
      <c r="H26" t="s">
        <v>11</v>
      </c>
      <c r="I26" t="s">
        <v>79</v>
      </c>
      <c r="J26" t="s">
        <v>12</v>
      </c>
      <c r="K26" t="s">
        <v>80</v>
      </c>
      <c r="L26" t="s">
        <v>9</v>
      </c>
      <c r="M26" t="s">
        <v>81</v>
      </c>
    </row>
    <row r="27" spans="2:13" x14ac:dyDescent="0.3">
      <c r="B27" t="s">
        <v>75</v>
      </c>
      <c r="C27">
        <v>1</v>
      </c>
      <c r="D27">
        <v>999</v>
      </c>
      <c r="E27">
        <v>1888</v>
      </c>
      <c r="F27" s="2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32</v>
      </c>
      <c r="M27" t="s">
        <v>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19</vt:i4>
      </vt:variant>
    </vt:vector>
  </HeadingPairs>
  <TitlesOfParts>
    <vt:vector size="31" baseType="lpstr">
      <vt:lpstr>FORMULAS</vt:lpstr>
      <vt:lpstr>RATES_MACRO</vt:lpstr>
      <vt:lpstr>Binance</vt:lpstr>
      <vt:lpstr>Bitfinex</vt:lpstr>
      <vt:lpstr>Bittrex</vt:lpstr>
      <vt:lpstr>Coinone</vt:lpstr>
      <vt:lpstr>Coinspot</vt:lpstr>
      <vt:lpstr>Cryptopia</vt:lpstr>
      <vt:lpstr>HitBTC</vt:lpstr>
      <vt:lpstr>Kraken</vt:lpstr>
      <vt:lpstr>Kucoin</vt:lpstr>
      <vt:lpstr>Poloniex</vt:lpstr>
      <vt:lpstr>apikey_binance</vt:lpstr>
      <vt:lpstr>apikey_bitfinex</vt:lpstr>
      <vt:lpstr>apikey_bittrex</vt:lpstr>
      <vt:lpstr>apikey_coinone</vt:lpstr>
      <vt:lpstr>apikey_coinspot</vt:lpstr>
      <vt:lpstr>apikey_cryptopia</vt:lpstr>
      <vt:lpstr>apikey_kraken</vt:lpstr>
      <vt:lpstr>apikey_kucoin</vt:lpstr>
      <vt:lpstr>apikey_poloniex</vt:lpstr>
      <vt:lpstr>passphrase_kucoin</vt:lpstr>
      <vt:lpstr>secretkey_binance</vt:lpstr>
      <vt:lpstr>secretkey_bitfinex</vt:lpstr>
      <vt:lpstr>secretkey_bittrex</vt:lpstr>
      <vt:lpstr>secretkey_coinone</vt:lpstr>
      <vt:lpstr>secretkey_coinspot</vt:lpstr>
      <vt:lpstr>secretkey_cryptopia</vt:lpstr>
      <vt:lpstr>secretkey_kraken</vt:lpstr>
      <vt:lpstr>secretkey_kucoin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2019-03-12T11:25:59Z</dcterms:modified>
</cp:coreProperties>
</file>