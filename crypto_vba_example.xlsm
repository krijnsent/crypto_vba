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9C26B5FF-95C6-49E6-896C-9D98C7B23237}" xr6:coauthVersionLast="36" xr6:coauthVersionMax="36" xr10:uidLastSave="{00000000-0000-0000-0000-000000000000}"/>
  <bookViews>
    <workbookView xWindow="0" yWindow="0" windowWidth="17256" windowHeight="5928" xr2:uid="{00000000-000D-0000-FFFF-FFFF00000000}"/>
  </bookViews>
  <sheets>
    <sheet name="FORMULAS" sheetId="9" r:id="rId1"/>
    <sheet name="RATES_MACRO" sheetId="11" r:id="rId2"/>
    <sheet name="KRAKEN" sheetId="1" r:id="rId3"/>
    <sheet name="Bittrex" sheetId="3" r:id="rId4"/>
    <sheet name="Binance" sheetId="8" r:id="rId5"/>
    <sheet name="Poloniex" sheetId="4" r:id="rId6"/>
    <sheet name="WEXnz" sheetId="2" r:id="rId7"/>
    <sheet name="Kucoin" sheetId="10" r:id="rId8"/>
    <sheet name="Cryptopia" sheetId="7" r:id="rId9"/>
    <sheet name="Liqui" sheetId="5" r:id="rId10"/>
    <sheet name="Coinone" sheetId="6" r:id="rId11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kucoin">Kucoin!$C$2</definedName>
    <definedName name="apikey_liqui">Liqui!$C$2</definedName>
    <definedName name="apikey_poloniex">Poloniex!$C$2</definedName>
    <definedName name="apikey_wexnz">WEXnz!$C$2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kucoin">Kucoin!$C$3</definedName>
    <definedName name="secretkey_liqui">Liqui!$C$3</definedName>
    <definedName name="secretkey_poloniex">Poloniex!$C$3</definedName>
    <definedName name="secretkey_wexnz">WEXnz!$C$3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8" l="1"/>
  <c r="K37" i="2"/>
  <c r="K38" i="2"/>
  <c r="L31" i="5"/>
  <c r="L32" i="5"/>
  <c r="L31" i="2"/>
  <c r="L32" i="2"/>
  <c r="D30" i="9"/>
  <c r="D59" i="9" a="1"/>
  <c r="D29" i="9"/>
  <c r="D42" i="9"/>
  <c r="D18" i="9"/>
  <c r="D72" i="9" a="1"/>
  <c r="D16" i="9"/>
  <c r="D41" i="9"/>
  <c r="D17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<sst xmlns="http://schemas.openxmlformats.org/spreadsheetml/2006/main" count="1154" uniqueCount="428">
  <si>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</si>
  <si>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</si>
  <si>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</si>
  <si>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</si>
  <si>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</si>
  <si>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</si>
  <si>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</si>
  <si>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</si>
  <si>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</si>
  <si>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</si>
  <si>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</si>
  <si>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</si>
  <si>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</si>
  <si>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</si>
  <si>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</si>
  <si>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</si>
  <si>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</si>
  <si>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</si>
  <si>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</si>
  <si>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</si>
  <si>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</si>
  <si>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</si>
  <si>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</si>
  <si>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</si>
  <si>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</si>
  <si>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</si>
  <si>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</si>
  <si>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</si>
  <si>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</si>
  <si>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</si>
  <si>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</si>
  <si>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</si>
  <si>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</si>
  <si>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</si>
  <si>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</si>
  <si>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</si>
  <si>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</si>
  <si>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</si>
  <si>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</si>
  <si>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</si>
  <si>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</si>
  <si>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</si>
  <si>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</si>
  <si>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</si>
  <si>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</si>
  <si>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</si>
  <si>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</si>
  <si>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</si>
  <si>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</si>
  <si>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</si>
  <si>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</si>
  <si>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</si>
  <si>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</si>
  <si>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</si>
  <si>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</si>
  <si>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</si>
  <si>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</si>
  <si>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</si>
  <si>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</si>
  <si>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</si>
  <si>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</si>
  <si>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</si>
  <si>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</si>
  <si>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</si>
  <si>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</si>
  <si>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</si>
  <si>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</si>
  <si>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</si>
  <si>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</si>
  <si>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</si>
  <si>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</si>
  <si>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</si>
  <si>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</si>
  <si>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</si>
  <si>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</si>
  <si>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</si>
  <si>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</si>
  <si>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</si>
  <si>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</si>
  <si>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</si>
  <si>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</si>
  <si>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</si>
  <si>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</si>
  <si>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</si>
  <si>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</si>
  <si>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</si>
  <si>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</si>
  <si>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</si>
  <si>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</si>
  <si>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</si>
  <si>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</si>
  <si>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</si>
  <si>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</si>
  <si>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</si>
  <si>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</si>
  <si>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</si>
  <si>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</si>
  <si>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</si>
  <si>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</si>
  <si>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</si>
  <si>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</si>
  <si>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</si>
  <si>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</si>
  <si>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</si>
  <si>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</si>
  <si>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</si>
  <si>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</si>
  <si>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</si>
  <si>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</si>
  <si>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</si>
  <si>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</si>
  <si>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</si>
  <si>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</si>
  <si>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</si>
  <si>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</si>
  <si>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</si>
  <si>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</si>
  <si>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</si>
  <si>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</si>
  <si>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</si>
  <si>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</si>
  <si>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</si>
  <si>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</si>
  <si>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</si>
  <si>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</si>
  <si>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</si>
  <si>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</si>
  <si>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</si>
  <si>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</si>
  <si>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</si>
  <si>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</si>
  <si>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</si>
  <si>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eth_btc</t>
  </si>
  <si>
    <t>san_btc</t>
  </si>
  <si>
    <t>btc</t>
  </si>
  <si>
    <t>ltc</t>
  </si>
  <si>
    <t>steem</t>
  </si>
  <si>
    <t>sbd</t>
  </si>
  <si>
    <t>dash</t>
  </si>
  <si>
    <t>ans</t>
  </si>
  <si>
    <t>dct</t>
  </si>
  <si>
    <t>icn</t>
  </si>
  <si>
    <t>eth</t>
  </si>
  <si>
    <t>xzc</t>
  </si>
  <si>
    <t>xxx</t>
  </si>
  <si>
    <t>golos</t>
  </si>
  <si>
    <t>gbg</t>
  </si>
  <si>
    <t>gnt</t>
  </si>
  <si>
    <t>wings</t>
  </si>
  <si>
    <t>plu</t>
  </si>
  <si>
    <t>round</t>
  </si>
  <si>
    <t>vsl</t>
  </si>
  <si>
    <t>VAL_1st</t>
  </si>
  <si>
    <t>waves</t>
  </si>
  <si>
    <t>incnt</t>
  </si>
  <si>
    <t>mln</t>
  </si>
  <si>
    <t>usdt</t>
  </si>
  <si>
    <t>rep</t>
  </si>
  <si>
    <t>edg</t>
  </si>
  <si>
    <t>rlc</t>
  </si>
  <si>
    <t>trst</t>
  </si>
  <si>
    <t>gno</t>
  </si>
  <si>
    <t>gup</t>
  </si>
  <si>
    <t>taas</t>
  </si>
  <si>
    <t>lun</t>
  </si>
  <si>
    <t>tkn</t>
  </si>
  <si>
    <t>hmq</t>
  </si>
  <si>
    <t>bcap</t>
  </si>
  <si>
    <t>ant</t>
  </si>
  <si>
    <t>bat</t>
  </si>
  <si>
    <t>qrl</t>
  </si>
  <si>
    <t>bnt</t>
  </si>
  <si>
    <t>mgo</t>
  </si>
  <si>
    <t>myst</t>
  </si>
  <si>
    <t>sngls</t>
  </si>
  <si>
    <t>ptoy</t>
  </si>
  <si>
    <t>cfi</t>
  </si>
  <si>
    <t>snm</t>
  </si>
  <si>
    <t>snt</t>
  </si>
  <si>
    <t>mco</t>
  </si>
  <si>
    <t>storj</t>
  </si>
  <si>
    <t>adx</t>
  </si>
  <si>
    <t>eos</t>
  </si>
  <si>
    <t>pay</t>
  </si>
  <si>
    <t>xid</t>
  </si>
  <si>
    <t>omg</t>
  </si>
  <si>
    <t>san</t>
  </si>
  <si>
    <t>qtum</t>
  </si>
  <si>
    <t>cvc</t>
  </si>
  <si>
    <t>net</t>
  </si>
  <si>
    <t>dgd</t>
  </si>
  <si>
    <t>oax</t>
  </si>
  <si>
    <t>bcc</t>
  </si>
  <si>
    <t>dnt</t>
  </si>
  <si>
    <t>stx</t>
  </si>
  <si>
    <t>zrx</t>
  </si>
  <si>
    <t>tnt</t>
  </si>
  <si>
    <t>ae</t>
  </si>
  <si>
    <t>ven</t>
  </si>
  <si>
    <t>bmc</t>
  </si>
  <si>
    <t>mana</t>
  </si>
  <si>
    <t>pro</t>
  </si>
  <si>
    <t>knc</t>
  </si>
  <si>
    <t>salt</t>
  </si>
  <si>
    <t>ind</t>
  </si>
  <si>
    <t>trx</t>
  </si>
  <si>
    <t>eng</t>
  </si>
  <si>
    <t>ast</t>
  </si>
  <si>
    <t>req</t>
  </si>
  <si>
    <t>neu</t>
  </si>
  <si>
    <t>srn</t>
  </si>
  <si>
    <t>info</t>
  </si>
  <si>
    <t>trade</t>
  </si>
  <si>
    <t>withdraw</t>
  </si>
  <si>
    <t>funds</t>
  </si>
  <si>
    <t>rights</t>
  </si>
  <si>
    <t>Liqui GetInfo</t>
  </si>
  <si>
    <t>apikey_kucoin</t>
  </si>
  <si>
    <t>secretkey_kucoin</t>
  </si>
  <si>
    <t>C_LAST_PRICE</t>
  </si>
  <si>
    <t>The module ModSrcCryptocompare has 4 functions that can be used to pull in data from the cryptocompare API.</t>
  </si>
  <si>
    <t>For details, check the code and/or https://min-api.cryptocompare.com/</t>
  </si>
  <si>
    <t>C_HIST_PRICE</t>
  </si>
  <si>
    <t>C_DAY_AVG_PRICE</t>
  </si>
  <si>
    <t>C_ARR_OHLCV</t>
  </si>
  <si>
    <t>Returns one value, showing the last price of a currency pair.</t>
  </si>
  <si>
    <r>
      <t xml:space="preserve">Feedback is welcome on my github, create an issue there: </t>
    </r>
    <r>
      <rPr>
        <b/>
        <sz val="11"/>
        <color theme="1"/>
        <rFont val="Calibri"/>
        <family val="2"/>
        <scheme val="minor"/>
      </rPr>
      <t>https://github.com/krijnsent/crypto_vba</t>
    </r>
  </si>
  <si>
    <r>
      <rPr>
        <b/>
        <sz val="11"/>
        <color rgb="FFFF0000"/>
        <rFont val="Calibri"/>
        <family val="2"/>
        <scheme val="minor"/>
      </rPr>
      <t xml:space="preserve">WARNING: </t>
    </r>
    <r>
      <rPr>
        <sz val="11"/>
        <color theme="1"/>
        <rFont val="Calibri"/>
        <family val="2"/>
        <scheme val="minor"/>
      </rPr>
      <t>the functions are in test stage and all call the API. If you use over 10 in one workbook and recalculate, the workbook might become slow and</t>
    </r>
    <r>
      <rPr>
        <b/>
        <sz val="11"/>
        <color rgb="FFFF0000"/>
        <rFont val="Calibri"/>
        <family val="2"/>
        <scheme val="minor"/>
      </rPr>
      <t xml:space="preserve"> CRASH.</t>
    </r>
  </si>
  <si>
    <t>Elements in the function:</t>
  </si>
  <si>
    <r>
      <t xml:space="preserve">CurrBuy </t>
    </r>
    <r>
      <rPr>
        <sz val="11"/>
        <color theme="1"/>
        <rFont val="Calibri"/>
        <family val="2"/>
        <scheme val="minor"/>
      </rPr>
      <t>- the currency you want to buy, e.g. BTC, ETH, LTC</t>
    </r>
  </si>
  <si>
    <r>
      <t xml:space="preserve">CurrSell </t>
    </r>
    <r>
      <rPr>
        <sz val="11"/>
        <color theme="1"/>
        <rFont val="Calibri"/>
        <family val="2"/>
        <scheme val="minor"/>
      </rPr>
      <t>- the currency you want to sell, e.g. USD, EUR, ETH</t>
    </r>
  </si>
  <si>
    <r>
      <t xml:space="preserve">Exchange (optional) </t>
    </r>
    <r>
      <rPr>
        <sz val="11"/>
        <color theme="1"/>
        <rFont val="Calibri"/>
        <family val="2"/>
        <scheme val="minor"/>
      </rPr>
      <t>- cryptocompare will normally give back an aggregate, but you could specify an exchange, e.g. Kraken, Coinbase, Poloniex</t>
    </r>
  </si>
  <si>
    <t>ETH/EUR</t>
  </si>
  <si>
    <t>Examples:</t>
  </si>
  <si>
    <t>XLM/BTC Kraken</t>
  </si>
  <si>
    <t>BTC/XLM Kraken</t>
  </si>
  <si>
    <t>XMR/EUR 1-1-2018</t>
  </si>
  <si>
    <r>
      <t xml:space="preserve">DatesRates </t>
    </r>
    <r>
      <rPr>
        <sz val="11"/>
        <color theme="1"/>
        <rFont val="Calibri"/>
        <family val="2"/>
        <scheme val="minor"/>
      </rPr>
      <t>- the date of the rates (all in GMT, time is not used)</t>
    </r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</si>
  <si>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</si>
  <si>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</si>
  <si>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</si>
  <si>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</si>
  <si>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</si>
  <si>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</si>
  <si>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</si>
  <si>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r>
      <t xml:space="preserve">ReturnColumns </t>
    </r>
    <r>
      <rPr>
        <sz val="11"/>
        <color theme="1"/>
        <rFont val="Calibri"/>
        <family val="2"/>
        <scheme val="minor"/>
      </rPr>
      <t>- the columns you want back, e.g. TECV or ECHL.</t>
    </r>
  </si>
  <si>
    <t xml:space="preserve">            options TEOHLCFV:  'T = timestamp (unixtime)    E = normal excel date/time      O = open price      H = high price      L = Low price     C = close price     F = volume From    V = volume to</t>
  </si>
  <si>
    <r>
      <t>NrLines (optional)</t>
    </r>
    <r>
      <rPr>
        <sz val="11"/>
        <color theme="1"/>
        <rFont val="Calibri"/>
        <family val="2"/>
        <scheme val="minor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</si>
  <si>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11"/>
        <color theme="1"/>
        <rFont val="Calibri"/>
        <family val="2"/>
        <scheme val="minor"/>
      </rPr>
      <t>the last time/date in your dataset</t>
    </r>
  </si>
  <si>
    <r>
      <t xml:space="preserve">Note: this is an </t>
    </r>
    <r>
      <rPr>
        <b/>
        <sz val="11"/>
        <color theme="1"/>
        <rFont val="Calibri"/>
        <family val="2"/>
        <scheme val="minor"/>
      </rPr>
      <t>ARRAY FUNCTION</t>
    </r>
    <r>
      <rPr>
        <sz val="11"/>
        <color theme="1"/>
        <rFont val="Calibri"/>
        <family val="2"/>
        <scheme val="minor"/>
      </rPr>
      <t>, check out e.g. this site to see how to make &amp; use them (</t>
    </r>
    <r>
      <rPr>
        <b/>
        <sz val="11"/>
        <color theme="1"/>
        <rFont val="Calibri"/>
        <family val="2"/>
        <scheme val="minor"/>
      </rPr>
      <t>CTRL+SHIFT+ENTER</t>
    </r>
    <r>
      <rPr>
        <sz val="11"/>
        <color theme="1"/>
        <rFont val="Calibri"/>
        <family val="2"/>
        <scheme val="minor"/>
      </rPr>
      <t xml:space="preserve"> is key)</t>
    </r>
  </si>
  <si>
    <t>Daily ETH/BTC prices</t>
  </si>
  <si>
    <t>Hourly XLM/BTC prices</t>
  </si>
  <si>
    <t>code</t>
  </si>
  <si>
    <t>OK</t>
  </si>
  <si>
    <t>msg</t>
  </si>
  <si>
    <t>Operation succeeded.</t>
  </si>
  <si>
    <t>data</t>
  </si>
  <si>
    <t>coinType</t>
  </si>
  <si>
    <t>KCS</t>
  </si>
  <si>
    <t>trading</t>
  </si>
  <si>
    <t>symbol</t>
  </si>
  <si>
    <t>KCS-BTC</t>
  </si>
  <si>
    <t>lastDealPrice</t>
  </si>
  <si>
    <t>change</t>
  </si>
  <si>
    <t>coinTypePair</t>
  </si>
  <si>
    <t>sort</t>
  </si>
  <si>
    <t>feeRate</t>
  </si>
  <si>
    <t>volValue</t>
  </si>
  <si>
    <t>datetime</t>
  </si>
  <si>
    <t>changeRate</t>
  </si>
  <si>
    <t>Kucoin Balance</t>
  </si>
  <si>
    <t>balanceStr</t>
  </si>
  <si>
    <t>freezeBalance</t>
  </si>
  <si>
    <t>freezeBalanceStr</t>
  </si>
  <si>
    <t>datas</t>
  </si>
  <si>
    <t>ZEUR</t>
  </si>
  <si>
    <t>KFEE</t>
  </si>
  <si>
    <t>XXBT</t>
  </si>
  <si>
    <t>Kraken balances</t>
  </si>
  <si>
    <t>Thu,  1 Feb 18 12:15:35 +0000</t>
  </si>
  <si>
    <t>TEST STAGE FUNCTIONS</t>
  </si>
  <si>
    <t>TEL</t>
  </si>
  <si>
    <t>TFL</t>
  </si>
  <si>
    <t>RESULTS</t>
  </si>
  <si>
    <t>close</t>
  </si>
  <si>
    <t>volumeto</t>
  </si>
  <si>
    <t>ECVF</t>
  </si>
  <si>
    <t>volumefrom</t>
  </si>
  <si>
    <r>
      <t xml:space="preserve">DayHourMin </t>
    </r>
    <r>
      <rPr>
        <sz val="11"/>
        <color theme="1"/>
        <rFont val="Calibri"/>
        <family val="2"/>
        <scheme val="minor"/>
      </rPr>
      <t>- D for daily, H for hourly, M for minute (only 1 week of data available). To aggregate, use e.g. 10m, 4h or 7d.</t>
    </r>
  </si>
  <si>
    <t>Kraken, last 96 hours of 2017</t>
  </si>
  <si>
    <t>aggregated per 2 hours</t>
  </si>
  <si>
    <t>2D</t>
  </si>
  <si>
    <t>HAV</t>
  </si>
  <si>
    <t>NEO</t>
  </si>
  <si>
    <t>HPB</t>
  </si>
  <si>
    <t>AIX</t>
  </si>
  <si>
    <t>ENJ</t>
  </si>
  <si>
    <t>XRB</t>
  </si>
  <si>
    <t>LEND</t>
  </si>
  <si>
    <t>EXY</t>
  </si>
  <si>
    <t>J8T</t>
  </si>
  <si>
    <t>AGI</t>
  </si>
  <si>
    <t>RPX</t>
  </si>
  <si>
    <t>TNC</t>
  </si>
  <si>
    <t>IHT</t>
  </si>
  <si>
    <t>FOTA</t>
  </si>
  <si>
    <t>ZPT</t>
  </si>
  <si>
    <t>ACAT</t>
  </si>
  <si>
    <t>TKY</t>
  </si>
  <si>
    <t>ARN</t>
  </si>
  <si>
    <t>INS</t>
  </si>
  <si>
    <t>TIME</t>
  </si>
  <si>
    <t>DNA</t>
  </si>
  <si>
    <t>JNT</t>
  </si>
  <si>
    <t>ELEC</t>
  </si>
  <si>
    <t>CAN</t>
  </si>
  <si>
    <t>ACT</t>
  </si>
  <si>
    <t>IOST</t>
  </si>
  <si>
    <t>CAT</t>
  </si>
  <si>
    <t>CXO</t>
  </si>
  <si>
    <t>CS</t>
  </si>
  <si>
    <t>DTA</t>
  </si>
  <si>
    <t>QLC</t>
  </si>
  <si>
    <t>AXP</t>
  </si>
  <si>
    <t>DAT</t>
  </si>
  <si>
    <t>ETN</t>
  </si>
  <si>
    <t>DBC</t>
  </si>
  <si>
    <t>DENT</t>
  </si>
  <si>
    <t>ELF</t>
  </si>
  <si>
    <t>SPHTX</t>
  </si>
  <si>
    <t>ITC</t>
  </si>
  <si>
    <t>CTR</t>
  </si>
  <si>
    <t>HAT</t>
  </si>
  <si>
    <t>PURA</t>
  </si>
  <si>
    <t>TIO</t>
  </si>
  <si>
    <t>SNC</t>
  </si>
  <si>
    <t>ING</t>
  </si>
  <si>
    <t>GLA</t>
  </si>
  <si>
    <t>MTN</t>
  </si>
  <si>
    <t>DEB</t>
  </si>
  <si>
    <t>ARY</t>
  </si>
  <si>
    <t>POE</t>
  </si>
  <si>
    <t>BOS</t>
  </si>
  <si>
    <t>ADB</t>
  </si>
  <si>
    <t>LOOM</t>
  </si>
  <si>
    <t>OCN</t>
  </si>
  <si>
    <t>CV</t>
  </si>
  <si>
    <t>DASH</t>
  </si>
  <si>
    <t>XLR</t>
  </si>
  <si>
    <t>HKN</t>
  </si>
  <si>
    <t>AION</t>
  </si>
  <si>
    <t>WAX</t>
  </si>
  <si>
    <t>EBTC</t>
  </si>
  <si>
    <t>CHSB</t>
  </si>
  <si>
    <t>LOCI</t>
  </si>
  <si>
    <t>COV</t>
  </si>
  <si>
    <t>DADI</t>
  </si>
  <si>
    <t>CAPP</t>
  </si>
  <si>
    <t>BPT</t>
  </si>
  <si>
    <t>ZIL</t>
  </si>
  <si>
    <t>PRL</t>
  </si>
  <si>
    <t>GAT</t>
  </si>
  <si>
    <t>UTK</t>
  </si>
  <si>
    <t>COFI</t>
  </si>
  <si>
    <t>SAY</t>
  </si>
  <si>
    <t>KICK</t>
  </si>
  <si>
    <t>GOD</t>
  </si>
  <si>
    <t>ABTC</t>
  </si>
  <si>
    <t>BCH</t>
  </si>
  <si>
    <t>BTCP</t>
  </si>
  <si>
    <t>PPT</t>
  </si>
  <si>
    <t>MOD</t>
  </si>
  <si>
    <t>XAS</t>
  </si>
  <si>
    <t>SPF</t>
  </si>
  <si>
    <t>SNM</t>
  </si>
  <si>
    <t>PBL</t>
  </si>
  <si>
    <t>CAG</t>
  </si>
  <si>
    <t>QSP</t>
  </si>
  <si>
    <t>PLAY</t>
  </si>
  <si>
    <t>BNTY</t>
  </si>
  <si>
    <t>DRGN</t>
  </si>
  <si>
    <t>LA</t>
  </si>
  <si>
    <t>R</t>
  </si>
  <si>
    <t>MEE</t>
  </si>
  <si>
    <t>PARETO</t>
  </si>
  <si>
    <t>MWAT</t>
  </si>
  <si>
    <t>CFD</t>
  </si>
  <si>
    <t>BCD</t>
  </si>
  <si>
    <t>GVT</t>
  </si>
  <si>
    <t>GAS</t>
  </si>
  <si>
    <t>WTC</t>
  </si>
  <si>
    <t>RDN</t>
  </si>
  <si>
    <t>ETC</t>
  </si>
  <si>
    <t>NULS</t>
  </si>
  <si>
    <t>STX</t>
  </si>
  <si>
    <t>ONION</t>
  </si>
  <si>
    <t>POLL</t>
  </si>
  <si>
    <t>POWR</t>
  </si>
  <si>
    <t>AMB</t>
  </si>
  <si>
    <t>ELIX</t>
  </si>
  <si>
    <t>UKG</t>
  </si>
  <si>
    <t>SUB</t>
  </si>
  <si>
    <t>HST</t>
  </si>
  <si>
    <t>FLIXX</t>
  </si>
  <si>
    <t>STK</t>
  </si>
  <si>
    <t>SNOV</t>
  </si>
  <si>
    <t>ETF</t>
  </si>
  <si>
    <t>BTG</t>
  </si>
  <si>
    <t>QTUM</t>
  </si>
  <si>
    <t>HSR</t>
  </si>
  <si>
    <t>NEBL</t>
  </si>
  <si>
    <t>EVX</t>
  </si>
  <si>
    <t>OMG</t>
  </si>
  <si>
    <t>KNC</t>
  </si>
  <si>
    <t>PAY</t>
  </si>
  <si>
    <t>BCPT</t>
  </si>
  <si>
    <t>CVC</t>
  </si>
  <si>
    <t>BTM</t>
  </si>
  <si>
    <t>MTH</t>
  </si>
  <si>
    <t>VEN</t>
  </si>
  <si>
    <t>REQ</t>
  </si>
  <si>
    <t>RHOC</t>
  </si>
  <si>
    <t>POLY</t>
  </si>
  <si>
    <t>DGB</t>
  </si>
  <si>
    <t>USDT</t>
  </si>
  <si>
    <t>EOS</t>
  </si>
  <si>
    <t>BHC</t>
  </si>
  <si>
    <t>SNT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</si>
</sst>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Font="1" applyBorder="1"/>
    <xf numFmtId="165" fontId="0" fillId="0" borderId="0" xfId="1" applyNumberFormat="1" applyFont="1" applyBorder="1"/>
    <xf numFmtId="165" fontId="0" fillId="0" borderId="7" xfId="1" applyNumberFormat="1" applyFont="1" applyBorder="1"/>
    <xf numFmtId="165" fontId="0" fillId="0" borderId="5" xfId="1" applyNumberFormat="1" applyFont="1" applyBorder="1"/>
    <xf numFmtId="165" fontId="0" fillId="0" borderId="6" xfId="1" applyNumberFormat="1" applyFont="1" applyBorder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0" fillId="0" borderId="0" xfId="0" applyFont="1" applyAlignment="1"/>
    <xf numFmtId="0" fontId="0" fillId="4" borderId="0" xfId="0" applyFill="1"/>
    <xf numFmtId="166" fontId="0" fillId="4" borderId="0" xfId="1" applyNumberFormat="1" applyFont="1" applyFill="1"/>
    <xf numFmtId="0" fontId="1" fillId="4" borderId="0" xfId="0" applyFont="1" applyFill="1"/>
    <xf numFmtId="15" fontId="0" fillId="4" borderId="0" xfId="1" applyNumberFormat="1" applyFont="1" applyFill="1"/>
    <xf numFmtId="0" fontId="0" fillId="4" borderId="0" xfId="0" applyFont="1" applyFill="1"/>
    <xf numFmtId="167" fontId="0" fillId="4" borderId="0" xfId="0" applyNumberFormat="1" applyFill="1"/>
    <xf numFmtId="168" fontId="0" fillId="4" borderId="0" xfId="1" applyNumberFormat="1" applyFont="1" applyFill="1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11" fontId="0" fillId="0" borderId="0" xfId="0" applyNumberFormat="1"/>
  </cellXfs>
  <cellStyles count="2">
    <cellStyle name="Komma" xfId="1" builtinId="3"/>
    <cellStyle name="Standaard" xfId="0" builtinId="0"/>
  </cellStyles>
  <dxfs count="2">
    <dxf>
      <numFmt numFmtId="169" formatCode="d\-mmm\-yy"/>
    </dxf>
    <dxf>
      <numFmt numFmtId="170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9</xdr:row>
          <xdr:rowOff>76200</xdr:rowOff>
        </xdr:from>
        <xdr:to>
          <xdr:col>12</xdr:col>
          <xdr:colOff>7620</xdr:colOff>
          <xdr:row>11</xdr:row>
          <xdr:rowOff>76200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20:C23" totalsRowShown="0">
  <autoFilter ref="B20:C23" xr:uid="{00000000-0009-0000-0100-000004000000}"/>
  <tableColumns count="2">
    <tableColumn id="1" xr3:uid="{00000000-0010-0000-0000-000001000000}" name="GROUP_1"/>
    <tableColumn id="2" xr3:uid="{00000000-0010-0000-0000-000002000000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" displayName="Tbl_Kucoin_Balance" ref="B38:I181" totalsRowShown="0">
  <autoFilter ref="B38:I181" xr:uid="{499FC7EF-4481-441A-B448-E8ECA033E522}"/>
  <sortState ref="B39:I39">
    <sortCondition descending="1" ref="F38:F39"/>
  </sortState>
  <tableColumns count="8">
    <tableColumn id="1" xr3:uid="{821C4B86-7A18-4200-9635-C70A11AA86B9}" name="GROUP_1"/>
    <tableColumn id="2" xr3:uid="{3EBF8B67-2371-4F49-8A2E-09E9E7A42273}" name="GROUP_2"/>
    <tableColumn id="3" xr3:uid="{00F56DEC-A088-4CE9-AD3F-83B6545F0E8F}" name="GROUP_3"/>
    <tableColumn id="4" xr3:uid="{A2D2AA82-C864-4944-B96B-D81CCDF0CF89}" name="coinType"/>
    <tableColumn id="5" xr3:uid="{F6A89A8A-9586-4A55-B3E6-C1BED44443AE}" name="balanceStr"/>
    <tableColumn id="6" xr3:uid="{EB857C90-66DE-4F55-A8B4-787322A53AC4}" name="freezeBalance"/>
    <tableColumn id="7" xr3:uid="{BEBFF244-F844-4234-9CFD-29065ECE44CA}" name="balance"/>
    <tableColumn id="8" xr3:uid="{2FB81F40-3BC8-4413-834F-45CF21FA9C2A}" name="freezeBalanceSt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A17507-6432-4BF6-A045-1F93EAA2B4A0}" name="Tbl_Liqui_Info" displayName="Tbl_Liqui_Info" ref="B36:CF38" totalsRowShown="0">
  <autoFilter ref="B36:CF38" xr:uid="{72A1367B-53A6-4760-81D6-BD4735131134}"/>
  <tableColumns count="83">
    <tableColumn id="1" xr3:uid="{5D417EF7-9567-485D-9D24-A2940070B7B9}" name="GROUP_1"/>
    <tableColumn id="2" xr3:uid="{5A724281-EBEB-43A2-B8C0-240A56539901}" name="GROUP_2"/>
    <tableColumn id="3" xr3:uid="{4DBDC0B3-A5E3-4C51-9CDA-E77F745865D5}" name="btc"/>
    <tableColumn id="4" xr3:uid="{DCA94E8D-02EC-483E-88B6-160F62C71087}" name="ltc"/>
    <tableColumn id="5" xr3:uid="{8C1D444A-3CF2-4E4C-BB6B-3320946C3B23}" name="steem"/>
    <tableColumn id="6" xr3:uid="{7008A1D4-9C51-4E2E-A71A-A2B2DE1D28F4}" name="sbd"/>
    <tableColumn id="7" xr3:uid="{57D38A4F-86A7-48F4-BD95-1EFBD454BD46}" name="dash"/>
    <tableColumn id="8" xr3:uid="{E0443609-CE70-4007-867E-54090AB218DD}" name="ans"/>
    <tableColumn id="9" xr3:uid="{24E09DD8-C375-4580-ABB2-FCE5C5D78F13}" name="dct"/>
    <tableColumn id="10" xr3:uid="{AAD65C66-D04C-426C-92BF-11F0A5DEACDF}" name="icn"/>
    <tableColumn id="11" xr3:uid="{67E63427-68D2-449E-A677-50973F9E5890}" name="eth"/>
    <tableColumn id="12" xr3:uid="{09F1C5BB-EF12-406F-8FA3-9A2A0D34F784}" name="xzc"/>
    <tableColumn id="13" xr3:uid="{F46A0CB7-457F-4024-AC72-6EC778FE8AA8}" name="xxx"/>
    <tableColumn id="14" xr3:uid="{8A5E231C-F38C-465B-992F-456EF17C8A02}" name="golos"/>
    <tableColumn id="15" xr3:uid="{8C515E94-0F00-44D9-A6D5-7AF8AF8933D7}" name="gbg"/>
    <tableColumn id="16" xr3:uid="{BB7A4F07-3F03-4427-B52A-D28A765D7735}" name="gnt"/>
    <tableColumn id="17" xr3:uid="{AFD95511-8C67-452D-8668-809A0C096D74}" name="wings"/>
    <tableColumn id="18" xr3:uid="{38A10241-E55D-43E9-ACFA-0DDF72CBEEA7}" name="plu"/>
    <tableColumn id="19" xr3:uid="{93B0A2C1-9CC5-418C-A58D-CFF1600028E2}" name="round"/>
    <tableColumn id="20" xr3:uid="{B5D4B2F4-AE07-4DB2-ADF7-7616FEA12EC4}" name="vsl"/>
    <tableColumn id="21" xr3:uid="{3AFA6926-01D2-4784-9A04-6071C65928CF}" name="VAL_1st"/>
    <tableColumn id="22" xr3:uid="{27E884F3-F074-4C3E-A5DD-D2C2865337D3}" name="waves"/>
    <tableColumn id="23" xr3:uid="{85135781-752A-4850-925A-EB0D336E6CAA}" name="incnt"/>
    <tableColumn id="24" xr3:uid="{61CCF53A-D4C8-42B2-831C-0D662C7AD8EC}" name="mln"/>
    <tableColumn id="25" xr3:uid="{253D70A9-1D53-4964-A6A8-55F62AB55982}" name="time"/>
    <tableColumn id="26" xr3:uid="{B5E2334F-E45E-44EB-800F-388646596139}" name="usdt"/>
    <tableColumn id="27" xr3:uid="{AB062FE4-E693-4542-92B6-EE84CAFE8F76}" name="rep"/>
    <tableColumn id="28" xr3:uid="{3294F0C1-D1EE-4E44-87F1-BAAD312EF415}" name="edg"/>
    <tableColumn id="29" xr3:uid="{79D38068-38D7-4B12-8318-86D6D1507D69}" name="rlc"/>
    <tableColumn id="30" xr3:uid="{AB8F8702-1F58-43EE-BF49-E6D0EE4CD101}" name="trst"/>
    <tableColumn id="31" xr3:uid="{9F5D87F8-182F-42B9-B706-6E91EE9CF435}" name="gno"/>
    <tableColumn id="32" xr3:uid="{B5720D41-561D-4051-B1A2-D5CF737783D4}" name="gup"/>
    <tableColumn id="33" xr3:uid="{A074CA80-2882-4362-B7E7-908C87B90E51}" name="taas"/>
    <tableColumn id="34" xr3:uid="{0F90CA75-7073-49A6-B932-CB8BE648EBD4}" name="lun"/>
    <tableColumn id="35" xr3:uid="{5A9EF7AD-BEDC-4FCF-8B58-FF51FF45BB69}" name="tkn"/>
    <tableColumn id="36" xr3:uid="{543D88DC-D076-4254-B722-7784E582B326}" name="hmq"/>
    <tableColumn id="37" xr3:uid="{BBA25FB6-FB0B-4792-8ED8-A4D0692BC090}" name="bcap"/>
    <tableColumn id="38" xr3:uid="{AA19D72A-CB96-40F0-987F-4D09A3EE26D2}" name="ant"/>
    <tableColumn id="39" xr3:uid="{4EF8592A-37A6-41B2-866E-2E211722102B}" name="bat"/>
    <tableColumn id="40" xr3:uid="{B0434EC3-22D4-4A23-821C-0D63D5CC906D}" name="qrl"/>
    <tableColumn id="41" xr3:uid="{CF0430A6-F95C-48DF-AB82-A32C1967AA4F}" name="bnt"/>
    <tableColumn id="42" xr3:uid="{F57F3C4A-EFD0-423E-A877-91BE6FFAFA25}" name="mgo"/>
    <tableColumn id="43" xr3:uid="{18CD3F50-D606-496B-820E-076AEA877C70}" name="myst"/>
    <tableColumn id="44" xr3:uid="{5D6AEEA3-9648-4E93-8F9C-5148C2C9E443}" name="sngls"/>
    <tableColumn id="45" xr3:uid="{C879CAF4-1458-49CB-9FE5-127A18184674}" name="ptoy"/>
    <tableColumn id="46" xr3:uid="{4D60615D-982B-4BB8-A9A6-7F528EC01296}" name="cfi"/>
    <tableColumn id="47" xr3:uid="{367C0419-985F-49F9-8748-BE8F0F38A11D}" name="snm"/>
    <tableColumn id="48" xr3:uid="{BC138EDE-4A7C-4A9C-AC6A-B5F280ECD982}" name="snt"/>
    <tableColumn id="49" xr3:uid="{8BCC8020-94B0-491D-987B-7763DA169B15}" name="mco"/>
    <tableColumn id="50" xr3:uid="{497C5369-E69F-4070-A58A-879E7BAEA388}" name="storj"/>
    <tableColumn id="51" xr3:uid="{282AAF34-6168-4525-AF7B-5E3832E7771F}" name="adx"/>
    <tableColumn id="52" xr3:uid="{0407293F-F2C9-486C-8714-ACB25F861B6E}" name="eos"/>
    <tableColumn id="53" xr3:uid="{7AD9EAE3-67BD-44F3-AC56-55C3E3B93A35}" name="pay"/>
    <tableColumn id="54" xr3:uid="{8C3AA084-83FD-403F-9C0A-042E76B00460}" name="xid"/>
    <tableColumn id="55" xr3:uid="{9BDDAF60-A852-4EAA-A21F-9BF6359BCFFC}" name="omg"/>
    <tableColumn id="56" xr3:uid="{31B25641-A601-4C19-9274-2F86A3C97BBD}" name="san"/>
    <tableColumn id="57" xr3:uid="{0D4100A4-20C0-4D15-BDFA-6F9871DF1F27}" name="qtum"/>
    <tableColumn id="58" xr3:uid="{C8453404-7E17-47D0-B977-77A35DBC5B3E}" name="cvc"/>
    <tableColumn id="59" xr3:uid="{883173C1-138A-45DD-906F-8D0A3C1BFE7E}" name="net"/>
    <tableColumn id="60" xr3:uid="{CA2CAFA9-B608-406E-8B44-B43C6A929459}" name="dgd"/>
    <tableColumn id="61" xr3:uid="{F6B69BA9-2B73-44A3-9980-17F5BFA2F99F}" name="oax"/>
    <tableColumn id="62" xr3:uid="{4F533309-4AE1-433F-AD39-863576533E65}" name="bcc"/>
    <tableColumn id="63" xr3:uid="{D7A9E06D-27E3-4D7A-8D13-F2BF9F4BC510}" name="dnt"/>
    <tableColumn id="64" xr3:uid="{D3C4BD10-3AEA-4C8E-B787-F490B1D23AF0}" name="stx"/>
    <tableColumn id="65" xr3:uid="{D3592895-1231-4AA2-AE90-9DAEF82CDB1A}" name="zrx"/>
    <tableColumn id="66" xr3:uid="{911461B5-690A-4568-B9BB-2798DF08D10C}" name="tnt"/>
    <tableColumn id="67" xr3:uid="{1039AB22-2D7B-4588-BE64-3B4126F79EBA}" name="ae"/>
    <tableColumn id="68" xr3:uid="{213D8F0E-D154-4B13-92F1-F5AE73E28F36}" name="ven"/>
    <tableColumn id="69" xr3:uid="{BF03BB97-C961-4244-AF59-987B95673E6D}" name="bmc"/>
    <tableColumn id="70" xr3:uid="{C88E1BC7-036F-4007-805F-82D7C65FE76D}" name="mana"/>
    <tableColumn id="71" xr3:uid="{84E583ED-0C4E-4209-A1C7-429A134D083F}" name="pro"/>
    <tableColumn id="72" xr3:uid="{6DD56A7D-2FA1-4C01-B96B-FD992E12DE58}" name="knc"/>
    <tableColumn id="73" xr3:uid="{AEC57B90-6491-46EC-BAB8-F3C24F49CDD4}" name="salt"/>
    <tableColumn id="74" xr3:uid="{43B3CAF4-D1E7-46E8-9B4A-9C36B53381D6}" name="ind"/>
    <tableColumn id="75" xr3:uid="{B1F667DD-3B54-4F00-918B-472D57150A63}" name="trx"/>
    <tableColumn id="76" xr3:uid="{BF7173BC-1F83-4180-BFAA-FEE204007F46}" name="eng"/>
    <tableColumn id="77" xr3:uid="{5F6088C2-F18F-419D-8229-A19390585BD1}" name="ast"/>
    <tableColumn id="78" xr3:uid="{0A29A3B7-2C6E-44EF-B099-732DEC13FBDA}" name="req"/>
    <tableColumn id="79" xr3:uid="{7E814CA1-08B7-43EB-84D1-A16B656B1AD7}" name="neu"/>
    <tableColumn id="80" xr3:uid="{D5BD052F-05D3-4A6B-9A6A-337D6C9B9CA3}" name="srn"/>
    <tableColumn id="81" xr3:uid="{93530686-22D3-408D-86CD-B936AD0E3ACC}" name="info"/>
    <tableColumn id="82" xr3:uid="{8CE415ED-FD37-4A96-A17F-CE43A8CF0ED3}" name="trade"/>
    <tableColumn id="83" xr3:uid="{117D8165-0FD9-47A8-BBE7-C794906DFA81}" name="withdra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abSelected="1" workbookViewId="0">
      <selection activeCell="G10" sqref="G10"/>
    </sheetView>
  </sheetViews>
  <sheetFormatPr defaultRowHeight="14.4" x14ac:dyDescent="0.3"/>
  <cols>
    <col min="2" max="2" width="3" customWidth="1"/>
    <col min="3" max="3" width="25.6640625" customWidth="1"/>
    <col min="4" max="4" width="14.77734375" customWidth="1"/>
    <col min="5" max="5" width="13.44140625" bestFit="1" customWidth="1"/>
    <col min="6" max="6" width="15" customWidth="1"/>
    <col min="7" max="7" width="13.6640625" customWidth="1"/>
    <col min="8" max="8" width="18.77734375" customWidth="1"/>
    <col min="9" max="9" width="14.109375" customWidth="1"/>
    <col min="10" max="10" width="14.21875" customWidth="1"/>
    <col min="11" max="11" width="12.6640625" customWidth="1"/>
  </cols>
  <sheetData>
    <row r="2" spans="2:10" x14ac:dyDescent="0.3">
      <c r="B2" s="47" t="s">
        <v>280</v>
      </c>
    </row>
    <row r="3" spans="2:10" x14ac:dyDescent="0.3">
      <c r="B3" t="s">
        <v>220</v>
      </c>
    </row>
    <row r="4" spans="2:10" x14ac:dyDescent="0.3">
      <c r="B4" t="s">
        <v>221</v>
      </c>
    </row>
    <row r="5" spans="2:10" x14ac:dyDescent="0.3">
      <c r="B5" t="s">
        <v>227</v>
      </c>
    </row>
    <row r="6" spans="2:10" x14ac:dyDescent="0.3">
      <c r="B6" t="s">
        <v>226</v>
      </c>
    </row>
    <row r="8" spans="2:10" x14ac:dyDescent="0.3">
      <c r="B8" s="18" t="s">
        <v>219</v>
      </c>
      <c r="C8" s="19"/>
      <c r="D8" s="19"/>
      <c r="E8" s="19"/>
      <c r="F8" s="19"/>
      <c r="G8" s="19"/>
      <c r="H8" s="19"/>
      <c r="I8" s="19"/>
      <c r="J8" s="19"/>
    </row>
    <row r="9" spans="2:10" x14ac:dyDescent="0.3">
      <c r="B9" t="s">
        <v>225</v>
      </c>
    </row>
    <row r="10" spans="2:10" x14ac:dyDescent="0.3">
      <c r="C10" t="s">
        <v>228</v>
      </c>
    </row>
    <row r="11" spans="2:10" x14ac:dyDescent="0.3">
      <c r="C11" s="1" t="s">
        <v>229</v>
      </c>
    </row>
    <row r="12" spans="2:10" x14ac:dyDescent="0.3">
      <c r="C12" s="1" t="s">
        <v>230</v>
      </c>
    </row>
    <row r="13" spans="2:10" x14ac:dyDescent="0.3">
      <c r="C13" s="1" t="s">
        <v>231</v>
      </c>
    </row>
    <row r="15" spans="2:10" x14ac:dyDescent="0.3">
      <c r="C15" s="48" t="s">
        <v>233</v>
      </c>
    </row>
    <row r="16" spans="2:10" x14ac:dyDescent="0.3">
      <c r="C16" s="1" t="s">
        <v>232</v>
      </c>
      <c r="D16" s="50">
        <f ca="1">C_LAST_PRICE("ETH","EUR")</f>
        <v>196.45</v>
      </c>
    </row>
    <row r="17" spans="2:10" x14ac:dyDescent="0.3">
      <c r="C17" s="1" t="s">
        <v>234</v>
      </c>
      <c r="D17" s="51">
        <f ca="1">C_LAST_PRICE("XLM","BTC","Kraken")</f>
        <v>3.8899999999999997E-5</v>
      </c>
    </row>
    <row r="18" spans="2:10" x14ac:dyDescent="0.3">
      <c r="C18" s="1" t="s">
        <v>235</v>
      </c>
      <c r="D18" s="50" t="str">
        <f ca="1">C_LAST_PRICE("BTC","XLM","Kraken")</f>
        <v>ERROR Kraken market does not exist for this coin pair (BTC-XLM)</v>
      </c>
    </row>
    <row r="20" spans="2:10" x14ac:dyDescent="0.3">
      <c r="B20" s="18" t="s">
        <v>222</v>
      </c>
      <c r="C20" s="19"/>
      <c r="D20" s="19"/>
      <c r="E20" s="19"/>
      <c r="F20" s="19"/>
      <c r="G20" s="19"/>
      <c r="H20" s="19"/>
      <c r="I20" s="19"/>
      <c r="J20" s="19"/>
    </row>
    <row r="21" spans="2:10" x14ac:dyDescent="0.3">
      <c r="B21" t="s">
        <v>239</v>
      </c>
    </row>
    <row r="22" spans="2:10" x14ac:dyDescent="0.3">
      <c r="C22" t="s">
        <v>228</v>
      </c>
    </row>
    <row r="23" spans="2:10" x14ac:dyDescent="0.3">
      <c r="C23" s="1" t="s">
        <v>229</v>
      </c>
    </row>
    <row r="24" spans="2:10" x14ac:dyDescent="0.3">
      <c r="C24" s="1" t="s">
        <v>230</v>
      </c>
    </row>
    <row r="25" spans="2:10" x14ac:dyDescent="0.3">
      <c r="C25" s="1" t="s">
        <v>237</v>
      </c>
    </row>
    <row r="26" spans="2:10" x14ac:dyDescent="0.3">
      <c r="C26" s="1" t="s">
        <v>231</v>
      </c>
    </row>
    <row r="28" spans="2:10" x14ac:dyDescent="0.3">
      <c r="C28" s="48" t="s">
        <v>233</v>
      </c>
    </row>
    <row r="29" spans="2:10" x14ac:dyDescent="0.3">
      <c r="C29" s="1" t="s">
        <v>236</v>
      </c>
      <c r="D29" s="50">
        <f ca="1">C_HIST_PRICE("XMR","EUR",DATE(2018,1,1))</f>
        <v>288.55</v>
      </c>
    </row>
    <row r="30" spans="2:10" x14ac:dyDescent="0.3">
      <c r="C30" s="1" t="s">
        <v>238</v>
      </c>
      <c r="D30" s="50">
        <f ca="1">C_HIST_PRICE("XLM","BTC",DATE(2018,1,1), "Poloniex")</f>
        <v>3.612E-5</v>
      </c>
    </row>
    <row r="31" spans="2:10" x14ac:dyDescent="0.3">
      <c r="C31" s="1"/>
    </row>
    <row r="32" spans="2:10" x14ac:dyDescent="0.3">
      <c r="B32" s="18" t="s">
        <v>223</v>
      </c>
      <c r="C32" s="19"/>
      <c r="D32" s="19"/>
      <c r="E32" s="19"/>
      <c r="F32" s="19"/>
      <c r="G32" s="19"/>
      <c r="H32" s="19"/>
      <c r="I32" s="19"/>
      <c r="J32" s="19"/>
    </row>
    <row r="33" spans="2:10" x14ac:dyDescent="0.3">
      <c r="B33" t="s">
        <v>240</v>
      </c>
    </row>
    <row r="34" spans="2:10" x14ac:dyDescent="0.3">
      <c r="C34" t="s">
        <v>228</v>
      </c>
    </row>
    <row r="35" spans="2:10" x14ac:dyDescent="0.3">
      <c r="C35" s="1" t="s">
        <v>229</v>
      </c>
    </row>
    <row r="36" spans="2:10" x14ac:dyDescent="0.3">
      <c r="C36" s="1" t="s">
        <v>230</v>
      </c>
    </row>
    <row r="37" spans="2:10" x14ac:dyDescent="0.3">
      <c r="C37" s="1" t="s">
        <v>237</v>
      </c>
    </row>
    <row r="38" spans="2:10" x14ac:dyDescent="0.3">
      <c r="C38" s="1" t="s">
        <v>231</v>
      </c>
    </row>
    <row r="40" spans="2:10" x14ac:dyDescent="0.3">
      <c r="C40" s="48" t="s">
        <v>233</v>
      </c>
    </row>
    <row r="41" spans="2:10" x14ac:dyDescent="0.3">
      <c r="C41" s="1" t="s">
        <v>242</v>
      </c>
      <c r="D41" s="50">
        <f ca="1">C_DAY_AVG_PRICE("XMR","EUR","2017/07/01")</f>
        <v>36.47</v>
      </c>
    </row>
    <row r="42" spans="2:10" x14ac:dyDescent="0.3">
      <c r="C42" s="1" t="s">
        <v>241</v>
      </c>
      <c r="D42" s="50">
        <f ca="1">C_DAY_AVG_PRICE("DOGE","BTC","1-7-2017", "HitBTC")</f>
        <v>9.7999999999999993E-7</v>
      </c>
    </row>
    <row r="43" spans="2:10" x14ac:dyDescent="0.3">
      <c r="C43" s="1"/>
    </row>
    <row r="44" spans="2:10" x14ac:dyDescent="0.3">
      <c r="B44" s="18" t="s">
        <v>224</v>
      </c>
      <c r="C44" s="19"/>
      <c r="D44" s="19"/>
      <c r="E44" s="19"/>
      <c r="F44" s="19"/>
      <c r="G44" s="19"/>
      <c r="H44" s="19"/>
      <c r="I44" s="19"/>
      <c r="J44" s="19"/>
    </row>
    <row r="45" spans="2:10" x14ac:dyDescent="0.3">
      <c r="B45" t="s">
        <v>243</v>
      </c>
    </row>
    <row r="46" spans="2:10" x14ac:dyDescent="0.3">
      <c r="B46" t="s">
        <v>249</v>
      </c>
    </row>
    <row r="47" spans="2:10" x14ac:dyDescent="0.3">
      <c r="B47" t="s">
        <v>244</v>
      </c>
    </row>
    <row r="48" spans="2:10" x14ac:dyDescent="0.3">
      <c r="C48" t="s">
        <v>228</v>
      </c>
    </row>
    <row r="49" spans="3:6" x14ac:dyDescent="0.3">
      <c r="C49" s="1" t="s">
        <v>288</v>
      </c>
    </row>
    <row r="50" spans="3:6" x14ac:dyDescent="0.3">
      <c r="C50" s="1" t="s">
        <v>229</v>
      </c>
    </row>
    <row r="51" spans="3:6" x14ac:dyDescent="0.3">
      <c r="C51" s="1" t="s">
        <v>230</v>
      </c>
    </row>
    <row r="52" spans="3:6" x14ac:dyDescent="0.3">
      <c r="C52" s="1" t="s">
        <v>245</v>
      </c>
    </row>
    <row r="53" spans="3:6" x14ac:dyDescent="0.3">
      <c r="C53" s="49" t="s">
        <v>246</v>
      </c>
    </row>
    <row r="54" spans="3:6" x14ac:dyDescent="0.3">
      <c r="C54" s="1" t="s">
        <v>247</v>
      </c>
    </row>
    <row r="55" spans="3:6" x14ac:dyDescent="0.3">
      <c r="C55" s="1" t="s">
        <v>248</v>
      </c>
    </row>
    <row r="56" spans="3:6" x14ac:dyDescent="0.3">
      <c r="C56" s="1" t="s">
        <v>231</v>
      </c>
    </row>
    <row r="58" spans="3:6" x14ac:dyDescent="0.3">
      <c r="C58" s="48" t="s">
        <v>233</v>
      </c>
    </row>
    <row r="59" spans="3:6" x14ac:dyDescent="0.3">
      <c r="C59" s="1" t="s">
        <v>250</v>
      </c>
      <c r="D59" s="52" t="str">
        <f t="array" aca="1" ref="D59:F69" ca="1">C_ARR_OHLCV("D","ETH","BTC","ECV",10)</f>
        <v>time</v>
      </c>
      <c r="E59" s="52" t="str">
        <f ca="1"/>
        <v>close</v>
      </c>
      <c r="F59" s="52" t="str">
        <f ca="1"/>
        <v>volumeto</v>
      </c>
    </row>
    <row r="60" spans="3:6" x14ac:dyDescent="0.3">
      <c r="D60" s="53">
        <f ca="1"/>
        <v>43364</v>
      </c>
      <c r="E60" s="54">
        <f ca="1"/>
        <v>3.6650000000000002E-2</v>
      </c>
      <c r="F60" s="54">
        <f ca="1"/>
        <v>74530.87</v>
      </c>
    </row>
    <row r="61" spans="3:6" x14ac:dyDescent="0.3">
      <c r="D61" s="53">
        <f ca="1"/>
        <v>43365</v>
      </c>
      <c r="E61" s="54">
        <f ca="1"/>
        <v>3.585E-2</v>
      </c>
      <c r="F61" s="54">
        <f ca="1"/>
        <v>61035.59</v>
      </c>
    </row>
    <row r="62" spans="3:6" x14ac:dyDescent="0.3">
      <c r="D62" s="53">
        <f ca="1"/>
        <v>43366</v>
      </c>
      <c r="E62" s="54">
        <f ca="1"/>
        <v>3.6479999999999999E-2</v>
      </c>
      <c r="F62" s="54">
        <f ca="1"/>
        <v>58742.61</v>
      </c>
    </row>
    <row r="63" spans="3:6" x14ac:dyDescent="0.3">
      <c r="D63" s="53">
        <f ca="1"/>
        <v>43367</v>
      </c>
      <c r="E63" s="54">
        <f ca="1"/>
        <v>3.4639999999999997E-2</v>
      </c>
      <c r="F63" s="54">
        <f ca="1"/>
        <v>58310.16</v>
      </c>
    </row>
    <row r="64" spans="3:6" x14ac:dyDescent="0.3">
      <c r="D64" s="53">
        <f ca="1"/>
        <v>43368</v>
      </c>
      <c r="E64" s="54">
        <f ca="1"/>
        <v>3.4020000000000002E-2</v>
      </c>
      <c r="F64" s="54">
        <f ca="1"/>
        <v>55963.19</v>
      </c>
    </row>
    <row r="65" spans="3:11" x14ac:dyDescent="0.3">
      <c r="D65" s="53">
        <f ca="1"/>
        <v>43369</v>
      </c>
      <c r="E65" s="54">
        <f ca="1"/>
        <v>3.3169999999999998E-2</v>
      </c>
      <c r="F65" s="54">
        <f ca="1"/>
        <v>37049.99</v>
      </c>
    </row>
    <row r="66" spans="3:11" x14ac:dyDescent="0.3">
      <c r="D66" s="53">
        <f ca="1"/>
        <v>43370</v>
      </c>
      <c r="E66" s="54">
        <f ca="1"/>
        <v>3.424E-2</v>
      </c>
      <c r="F66" s="54">
        <f ca="1"/>
        <v>42475.4</v>
      </c>
    </row>
    <row r="67" spans="3:11" x14ac:dyDescent="0.3">
      <c r="D67" s="53">
        <f ca="1"/>
        <v>43371</v>
      </c>
      <c r="E67" s="54">
        <f ca="1"/>
        <v>3.3450000000000001E-2</v>
      </c>
      <c r="F67" s="54">
        <f ca="1"/>
        <v>53475.87</v>
      </c>
    </row>
    <row r="68" spans="3:11" x14ac:dyDescent="0.3">
      <c r="D68" s="53">
        <f ca="1"/>
        <v>43372</v>
      </c>
      <c r="E68" s="54">
        <f ca="1"/>
        <v>3.5069999999999997E-2</v>
      </c>
      <c r="F68" s="54">
        <f ca="1"/>
        <v>50056.01</v>
      </c>
    </row>
    <row r="69" spans="3:11" x14ac:dyDescent="0.3">
      <c r="D69" s="53">
        <f ca="1"/>
        <v>43373</v>
      </c>
      <c r="E69" s="54">
        <f ca="1"/>
        <v>3.5150000000000001E-2</v>
      </c>
      <c r="F69" s="54">
        <f ca="1"/>
        <v>44517.5</v>
      </c>
    </row>
    <row r="72" spans="3:11" x14ac:dyDescent="0.3">
      <c r="C72" s="1" t="s">
        <v>251</v>
      </c>
      <c r="D72" s="52" t="str">
        <f t="array" aca="1" ref="D72:K120" ca="1">C_ARR_OHLCV("2H","XLM","BTC","TEOHLCFV",48,DATE(2018,1,1),"Kraken")</f>
        <v>time</v>
      </c>
      <c r="E72" s="52" t="str">
        <f ca="1"/>
        <v>time</v>
      </c>
      <c r="F72" s="52" t="str">
        <f ca="1"/>
        <v>open</v>
      </c>
      <c r="G72" s="52" t="str">
        <f ca="1"/>
        <v>high</v>
      </c>
      <c r="H72" s="52" t="str">
        <f ca="1"/>
        <v>low</v>
      </c>
      <c r="I72" s="52" t="str">
        <f ca="1"/>
        <v>close</v>
      </c>
      <c r="J72" s="52" t="str">
        <f ca="1"/>
        <v>volumefrom</v>
      </c>
      <c r="K72" s="52" t="str">
        <f ca="1"/>
        <v>volumeto</v>
      </c>
    </row>
    <row r="73" spans="3:11" x14ac:dyDescent="0.3">
      <c r="C73" s="1" t="s">
        <v>289</v>
      </c>
      <c r="D73" s="50">
        <f ca="1"/>
        <v>1514419200</v>
      </c>
      <c r="E73" s="55">
        <f ca="1"/>
        <v>43097</v>
      </c>
      <c r="F73" s="51">
        <f ca="1"/>
        <v>1.455E-5</v>
      </c>
      <c r="G73" s="51">
        <f ca="1"/>
        <v>1.471E-5</v>
      </c>
      <c r="H73" s="51">
        <f ca="1"/>
        <v>1.4440000000000001E-5</v>
      </c>
      <c r="I73" s="51">
        <f ca="1"/>
        <v>1.4589999999999999E-5</v>
      </c>
      <c r="J73" s="56">
        <f ca="1"/>
        <v>526205.89</v>
      </c>
      <c r="K73" s="56">
        <f ca="1"/>
        <v>7.68</v>
      </c>
    </row>
    <row r="74" spans="3:11" x14ac:dyDescent="0.3">
      <c r="C74" s="1" t="s">
        <v>290</v>
      </c>
      <c r="D74" s="50">
        <f ca="1"/>
        <v>1514426400</v>
      </c>
      <c r="E74" s="55">
        <f ca="1"/>
        <v>43097.083333333336</v>
      </c>
      <c r="F74" s="51">
        <f ca="1"/>
        <v>1.4589999999999999E-5</v>
      </c>
      <c r="G74" s="51">
        <f ca="1"/>
        <v>1.473E-5</v>
      </c>
      <c r="H74" s="51">
        <f ca="1"/>
        <v>1.345E-5</v>
      </c>
      <c r="I74" s="51">
        <f ca="1"/>
        <v>1.464E-5</v>
      </c>
      <c r="J74" s="56">
        <f ca="1"/>
        <v>1511910.76</v>
      </c>
      <c r="K74" s="56">
        <f ca="1"/>
        <v>21.53</v>
      </c>
    </row>
    <row r="75" spans="3:11" x14ac:dyDescent="0.3">
      <c r="D75" s="50">
        <f ca="1"/>
        <v>1514433600</v>
      </c>
      <c r="E75" s="55">
        <f ca="1"/>
        <v>43097.166666666664</v>
      </c>
      <c r="F75" s="51">
        <f ca="1"/>
        <v>1.464E-5</v>
      </c>
      <c r="G75" s="51">
        <f ca="1"/>
        <v>1.469E-5</v>
      </c>
      <c r="H75" s="51">
        <f ca="1"/>
        <v>1.4E-5</v>
      </c>
      <c r="I75" s="51">
        <f ca="1"/>
        <v>1.4450000000000001E-5</v>
      </c>
      <c r="J75" s="56">
        <f ca="1"/>
        <v>966908.85</v>
      </c>
      <c r="K75" s="56">
        <f ca="1"/>
        <v>13.89</v>
      </c>
    </row>
    <row r="76" spans="3:11" x14ac:dyDescent="0.3">
      <c r="D76" s="50">
        <f ca="1"/>
        <v>1514440800</v>
      </c>
      <c r="E76" s="55">
        <f ca="1"/>
        <v>43097.25</v>
      </c>
      <c r="F76" s="51">
        <f ca="1"/>
        <v>1.4450000000000001E-5</v>
      </c>
      <c r="G76" s="51">
        <f ca="1"/>
        <v>1.464E-5</v>
      </c>
      <c r="H76" s="51">
        <f ca="1"/>
        <v>1.417E-5</v>
      </c>
      <c r="I76" s="51">
        <f ca="1"/>
        <v>1.4579999999999999E-5</v>
      </c>
      <c r="J76" s="56">
        <f ca="1"/>
        <v>833357.93</v>
      </c>
      <c r="K76" s="56">
        <f ca="1"/>
        <v>11.97</v>
      </c>
    </row>
    <row r="77" spans="3:11" x14ac:dyDescent="0.3">
      <c r="D77" s="50">
        <f ca="1"/>
        <v>1514448000</v>
      </c>
      <c r="E77" s="55">
        <f ca="1"/>
        <v>43097.333333333336</v>
      </c>
      <c r="F77" s="51">
        <f ca="1"/>
        <v>1.4579999999999999E-5</v>
      </c>
      <c r="G77" s="51">
        <f ca="1"/>
        <v>1.4579999999999999E-5</v>
      </c>
      <c r="H77" s="51">
        <f ca="1"/>
        <v>1.3900000000000001E-5</v>
      </c>
      <c r="I77" s="51">
        <f ca="1"/>
        <v>1.436E-5</v>
      </c>
      <c r="J77" s="56">
        <f ca="1"/>
        <v>1058522.69</v>
      </c>
      <c r="K77" s="56">
        <f ca="1"/>
        <v>15.06</v>
      </c>
    </row>
    <row r="78" spans="3:11" x14ac:dyDescent="0.3">
      <c r="D78" s="50">
        <f ca="1"/>
        <v>1514455200</v>
      </c>
      <c r="E78" s="55">
        <f ca="1"/>
        <v>43097.416666666664</v>
      </c>
      <c r="F78" s="51">
        <f ca="1"/>
        <v>1.436E-5</v>
      </c>
      <c r="G78" s="51">
        <f ca="1"/>
        <v>1.448E-5</v>
      </c>
      <c r="H78" s="51">
        <f ca="1"/>
        <v>1.4229999999999999E-5</v>
      </c>
      <c r="I78" s="51">
        <f ca="1"/>
        <v>1.433E-5</v>
      </c>
      <c r="J78" s="56">
        <f ca="1"/>
        <v>763329.2</v>
      </c>
      <c r="K78" s="56">
        <f ca="1"/>
        <v>10.97</v>
      </c>
    </row>
    <row r="79" spans="3:11" x14ac:dyDescent="0.3">
      <c r="D79" s="50">
        <f ca="1"/>
        <v>1514462400</v>
      </c>
      <c r="E79" s="55">
        <f ca="1"/>
        <v>43097.5</v>
      </c>
      <c r="F79" s="51">
        <f ca="1"/>
        <v>1.433E-5</v>
      </c>
      <c r="G79" s="51">
        <f ca="1"/>
        <v>1.5E-5</v>
      </c>
      <c r="H79" s="51">
        <f ca="1"/>
        <v>1.429E-5</v>
      </c>
      <c r="I79" s="51">
        <f ca="1"/>
        <v>1.464E-5</v>
      </c>
      <c r="J79" s="56">
        <f ca="1"/>
        <v>1185018.6399999999</v>
      </c>
      <c r="K79" s="56">
        <f ca="1"/>
        <v>17.2</v>
      </c>
    </row>
    <row r="80" spans="3:11" x14ac:dyDescent="0.3">
      <c r="D80" s="50">
        <f ca="1"/>
        <v>1514469600</v>
      </c>
      <c r="E80" s="55">
        <f ca="1"/>
        <v>43097.583333333336</v>
      </c>
      <c r="F80" s="51">
        <f ca="1"/>
        <v>1.464E-5</v>
      </c>
      <c r="G80" s="51">
        <f ca="1"/>
        <v>1.4949999999999999E-5</v>
      </c>
      <c r="H80" s="51">
        <f ca="1"/>
        <v>1.456E-5</v>
      </c>
      <c r="I80" s="51">
        <f ca="1"/>
        <v>1.466E-5</v>
      </c>
      <c r="J80" s="56">
        <f ca="1"/>
        <v>1309158.05</v>
      </c>
      <c r="K80" s="56">
        <f ca="1"/>
        <v>19.25</v>
      </c>
    </row>
    <row r="81" spans="4:11" x14ac:dyDescent="0.3">
      <c r="D81" s="50">
        <f ca="1"/>
        <v>1514476800</v>
      </c>
      <c r="E81" s="55">
        <f ca="1"/>
        <v>43097.666666666664</v>
      </c>
      <c r="F81" s="51">
        <f ca="1"/>
        <v>1.466E-5</v>
      </c>
      <c r="G81" s="51">
        <f ca="1"/>
        <v>1.5150000000000001E-5</v>
      </c>
      <c r="H81" s="51">
        <f ca="1"/>
        <v>1.436E-5</v>
      </c>
      <c r="I81" s="51">
        <f ca="1"/>
        <v>1.507E-5</v>
      </c>
      <c r="J81" s="56">
        <f ca="1"/>
        <v>2081526.13</v>
      </c>
      <c r="K81" s="56">
        <f ca="1"/>
        <v>30.96</v>
      </c>
    </row>
    <row r="82" spans="4:11" x14ac:dyDescent="0.3">
      <c r="D82" s="50">
        <f ca="1"/>
        <v>1514484000</v>
      </c>
      <c r="E82" s="55">
        <f ca="1"/>
        <v>43097.75</v>
      </c>
      <c r="F82" s="51">
        <f ca="1"/>
        <v>1.507E-5</v>
      </c>
      <c r="G82" s="51">
        <f ca="1"/>
        <v>1.571E-5</v>
      </c>
      <c r="H82" s="51">
        <f ca="1"/>
        <v>1.5E-5</v>
      </c>
      <c r="I82" s="51">
        <f ca="1"/>
        <v>1.558E-5</v>
      </c>
      <c r="J82" s="56">
        <f ca="1"/>
        <v>3759282.43</v>
      </c>
      <c r="K82" s="56">
        <f ca="1"/>
        <v>57.92</v>
      </c>
    </row>
    <row r="83" spans="4:11" x14ac:dyDescent="0.3">
      <c r="D83" s="50">
        <f ca="1"/>
        <v>1514491200</v>
      </c>
      <c r="E83" s="55">
        <f ca="1"/>
        <v>43097.833333333336</v>
      </c>
      <c r="F83" s="51">
        <f ca="1"/>
        <v>1.558E-5</v>
      </c>
      <c r="G83" s="51">
        <f ca="1"/>
        <v>1.5630000000000001E-5</v>
      </c>
      <c r="H83" s="51">
        <f ca="1"/>
        <v>1.5319999999999999E-5</v>
      </c>
      <c r="I83" s="51">
        <f ca="1"/>
        <v>1.541E-5</v>
      </c>
      <c r="J83" s="56">
        <f ca="1"/>
        <v>1018936.31</v>
      </c>
      <c r="K83" s="56">
        <f ca="1"/>
        <v>15.78</v>
      </c>
    </row>
    <row r="84" spans="4:11" x14ac:dyDescent="0.3">
      <c r="D84" s="50">
        <f ca="1"/>
        <v>1514498400</v>
      </c>
      <c r="E84" s="55">
        <f ca="1"/>
        <v>43097.916666666664</v>
      </c>
      <c r="F84" s="51">
        <f ca="1"/>
        <v>1.541E-5</v>
      </c>
      <c r="G84" s="51">
        <f ca="1"/>
        <v>1.5999999999999999E-5</v>
      </c>
      <c r="H84" s="51">
        <f ca="1"/>
        <v>1.521E-5</v>
      </c>
      <c r="I84" s="51">
        <f ca="1"/>
        <v>1.541E-5</v>
      </c>
      <c r="J84" s="56">
        <f ca="1"/>
        <v>1842118.29</v>
      </c>
      <c r="K84" s="56">
        <f ca="1"/>
        <v>28.97</v>
      </c>
    </row>
    <row r="85" spans="4:11" x14ac:dyDescent="0.3">
      <c r="D85" s="50">
        <f ca="1"/>
        <v>1514505600</v>
      </c>
      <c r="E85" s="55">
        <f ca="1"/>
        <v>43098</v>
      </c>
      <c r="F85" s="51">
        <f ca="1"/>
        <v>1.541E-5</v>
      </c>
      <c r="G85" s="51">
        <f ca="1"/>
        <v>1.5950000000000001E-5</v>
      </c>
      <c r="H85" s="51">
        <f ca="1"/>
        <v>1.52E-5</v>
      </c>
      <c r="I85" s="51">
        <f ca="1"/>
        <v>1.592E-5</v>
      </c>
      <c r="J85" s="56">
        <f ca="1"/>
        <v>1660812.09</v>
      </c>
      <c r="K85" s="56">
        <f ca="1"/>
        <v>25.56</v>
      </c>
    </row>
    <row r="86" spans="4:11" x14ac:dyDescent="0.3">
      <c r="D86" s="50">
        <f ca="1"/>
        <v>1514512800</v>
      </c>
      <c r="E86" s="55">
        <f ca="1"/>
        <v>43098.083333333336</v>
      </c>
      <c r="F86" s="51">
        <f ca="1"/>
        <v>1.592E-5</v>
      </c>
      <c r="G86" s="51">
        <f ca="1"/>
        <v>1.5990000000000001E-5</v>
      </c>
      <c r="H86" s="51">
        <f ca="1"/>
        <v>1.554E-5</v>
      </c>
      <c r="I86" s="51">
        <f ca="1"/>
        <v>1.59E-5</v>
      </c>
      <c r="J86" s="56">
        <f ca="1"/>
        <v>1380224.4</v>
      </c>
      <c r="K86" s="56">
        <f ca="1"/>
        <v>21.8</v>
      </c>
    </row>
    <row r="87" spans="4:11" x14ac:dyDescent="0.3">
      <c r="D87" s="50">
        <f ca="1"/>
        <v>1514520000</v>
      </c>
      <c r="E87" s="55">
        <f ca="1"/>
        <v>43098.166666666664</v>
      </c>
      <c r="F87" s="51">
        <f ca="1"/>
        <v>1.59E-5</v>
      </c>
      <c r="G87" s="51">
        <f ca="1"/>
        <v>1.6500000000000001E-5</v>
      </c>
      <c r="H87" s="51">
        <f ca="1"/>
        <v>1.59E-5</v>
      </c>
      <c r="I87" s="51">
        <f ca="1"/>
        <v>1.6500000000000001E-5</v>
      </c>
      <c r="J87" s="56">
        <f ca="1"/>
        <v>3397998.12</v>
      </c>
      <c r="K87" s="56">
        <f ca="1"/>
        <v>55.52</v>
      </c>
    </row>
    <row r="88" spans="4:11" x14ac:dyDescent="0.3">
      <c r="D88" s="50">
        <f ca="1"/>
        <v>1514527200</v>
      </c>
      <c r="E88" s="55">
        <f ca="1"/>
        <v>43098.25</v>
      </c>
      <c r="F88" s="51">
        <f ca="1"/>
        <v>1.6500000000000001E-5</v>
      </c>
      <c r="G88" s="51">
        <f ca="1"/>
        <v>1.698E-5</v>
      </c>
      <c r="H88" s="51">
        <f ca="1"/>
        <v>1.6099999999999998E-5</v>
      </c>
      <c r="I88" s="51">
        <f ca="1"/>
        <v>1.6290000000000002E-5</v>
      </c>
      <c r="J88" s="56">
        <f ca="1"/>
        <v>1876367.77</v>
      </c>
      <c r="K88" s="56">
        <f ca="1"/>
        <v>31.04</v>
      </c>
    </row>
    <row r="89" spans="4:11" x14ac:dyDescent="0.3">
      <c r="D89" s="50">
        <f ca="1"/>
        <v>1514534400</v>
      </c>
      <c r="E89" s="55">
        <f ca="1"/>
        <v>43098.333333333336</v>
      </c>
      <c r="F89" s="51">
        <f ca="1"/>
        <v>1.6290000000000002E-5</v>
      </c>
      <c r="G89" s="51">
        <f ca="1"/>
        <v>1.7450000000000001E-5</v>
      </c>
      <c r="H89" s="51">
        <f ca="1"/>
        <v>1.6019999999999999E-5</v>
      </c>
      <c r="I89" s="51">
        <f ca="1"/>
        <v>1.685E-5</v>
      </c>
      <c r="J89" s="56">
        <f ca="1"/>
        <v>3640110.84</v>
      </c>
      <c r="K89" s="56">
        <f ca="1"/>
        <v>60.79</v>
      </c>
    </row>
    <row r="90" spans="4:11" x14ac:dyDescent="0.3">
      <c r="D90" s="50">
        <f ca="1"/>
        <v>1514541600</v>
      </c>
      <c r="E90" s="55">
        <f ca="1"/>
        <v>43098.416666666664</v>
      </c>
      <c r="F90" s="51">
        <f ca="1"/>
        <v>1.685E-5</v>
      </c>
      <c r="G90" s="51">
        <f ca="1"/>
        <v>1.8689999999999999E-5</v>
      </c>
      <c r="H90" s="51">
        <f ca="1"/>
        <v>1.605E-5</v>
      </c>
      <c r="I90" s="51">
        <f ca="1"/>
        <v>1.8689999999999999E-5</v>
      </c>
      <c r="J90" s="56">
        <f ca="1"/>
        <v>7840446.21</v>
      </c>
      <c r="K90" s="56">
        <f ca="1"/>
        <v>136.97</v>
      </c>
    </row>
    <row r="91" spans="4:11" x14ac:dyDescent="0.3">
      <c r="D91" s="50">
        <f ca="1"/>
        <v>1514548800</v>
      </c>
      <c r="E91" s="55">
        <f ca="1"/>
        <v>43098.5</v>
      </c>
      <c r="F91" s="51">
        <f ca="1"/>
        <v>1.8689999999999999E-5</v>
      </c>
      <c r="G91" s="51">
        <f ca="1"/>
        <v>1.8989999999999999E-5</v>
      </c>
      <c r="H91" s="51">
        <f ca="1"/>
        <v>1.802E-5</v>
      </c>
      <c r="I91" s="51">
        <f ca="1"/>
        <v>1.825E-5</v>
      </c>
      <c r="J91" s="56">
        <f ca="1"/>
        <v>9265250.9700000007</v>
      </c>
      <c r="K91" s="56">
        <f ca="1"/>
        <v>171.05</v>
      </c>
    </row>
    <row r="92" spans="4:11" x14ac:dyDescent="0.3">
      <c r="D92" s="50">
        <f ca="1"/>
        <v>1514556000</v>
      </c>
      <c r="E92" s="55">
        <f ca="1"/>
        <v>43098.583333333336</v>
      </c>
      <c r="F92" s="51">
        <f ca="1"/>
        <v>1.825E-5</v>
      </c>
      <c r="G92" s="51">
        <f ca="1"/>
        <v>1.999E-5</v>
      </c>
      <c r="H92" s="51">
        <f ca="1"/>
        <v>1.8130000000000001E-5</v>
      </c>
      <c r="I92" s="51">
        <f ca="1"/>
        <v>1.897E-5</v>
      </c>
      <c r="J92" s="56">
        <f ca="1"/>
        <v>7850127.0499999998</v>
      </c>
      <c r="K92" s="56">
        <f ca="1"/>
        <v>150.69</v>
      </c>
    </row>
    <row r="93" spans="4:11" x14ac:dyDescent="0.3">
      <c r="D93" s="50">
        <f ca="1"/>
        <v>1514563200</v>
      </c>
      <c r="E93" s="55">
        <f ca="1"/>
        <v>43098.666666666664</v>
      </c>
      <c r="F93" s="51">
        <f ca="1"/>
        <v>1.897E-5</v>
      </c>
      <c r="G93" s="51">
        <f ca="1"/>
        <v>1.9979999999999998E-5</v>
      </c>
      <c r="H93" s="51">
        <f ca="1"/>
        <v>1.8649999999999999E-5</v>
      </c>
      <c r="I93" s="51">
        <f ca="1"/>
        <v>1.98E-5</v>
      </c>
      <c r="J93" s="56">
        <f ca="1"/>
        <v>4385247.6100000003</v>
      </c>
      <c r="K93" s="56">
        <f ca="1"/>
        <v>85.03</v>
      </c>
    </row>
    <row r="94" spans="4:11" x14ac:dyDescent="0.3">
      <c r="D94" s="50">
        <f ca="1"/>
        <v>1514570400</v>
      </c>
      <c r="E94" s="55">
        <f ca="1"/>
        <v>43098.75</v>
      </c>
      <c r="F94" s="51">
        <f ca="1"/>
        <v>1.9890000000000001E-5</v>
      </c>
      <c r="G94" s="51">
        <f ca="1"/>
        <v>2.1950000000000002E-5</v>
      </c>
      <c r="H94" s="51">
        <f ca="1"/>
        <v>1.95E-5</v>
      </c>
      <c r="I94" s="51">
        <f ca="1"/>
        <v>2.088E-5</v>
      </c>
      <c r="J94" s="56">
        <f ca="1"/>
        <v>8462616.6099999994</v>
      </c>
      <c r="K94" s="56">
        <f ca="1"/>
        <v>170.99</v>
      </c>
    </row>
    <row r="95" spans="4:11" x14ac:dyDescent="0.3">
      <c r="D95" s="50">
        <f ca="1"/>
        <v>1514577600</v>
      </c>
      <c r="E95" s="55">
        <f ca="1"/>
        <v>43098.833333333336</v>
      </c>
      <c r="F95" s="51">
        <f ca="1"/>
        <v>2.088E-5</v>
      </c>
      <c r="G95" s="51">
        <f ca="1"/>
        <v>2.1990000000000001E-5</v>
      </c>
      <c r="H95" s="51">
        <f ca="1"/>
        <v>1.9700000000000001E-5</v>
      </c>
      <c r="I95" s="51">
        <f ca="1"/>
        <v>2.0800000000000001E-5</v>
      </c>
      <c r="J95" s="56">
        <f ca="1"/>
        <v>5774654.1299999999</v>
      </c>
      <c r="K95" s="56">
        <f ca="1"/>
        <v>119.83</v>
      </c>
    </row>
    <row r="96" spans="4:11" x14ac:dyDescent="0.3">
      <c r="D96" s="50">
        <f ca="1"/>
        <v>1514584800</v>
      </c>
      <c r="E96" s="55">
        <f ca="1"/>
        <v>43098.916666666664</v>
      </c>
      <c r="F96" s="51">
        <f ca="1"/>
        <v>2.0800000000000001E-5</v>
      </c>
      <c r="G96" s="51">
        <f ca="1"/>
        <v>2.4000000000000001E-5</v>
      </c>
      <c r="H96" s="51">
        <f ca="1"/>
        <v>2.0509999999999998E-5</v>
      </c>
      <c r="I96" s="51">
        <f ca="1"/>
        <v>2.2529999999999999E-5</v>
      </c>
      <c r="J96" s="56">
        <f ca="1"/>
        <v>12779040.789999999</v>
      </c>
      <c r="K96" s="56">
        <f ca="1"/>
        <v>292.47000000000003</v>
      </c>
    </row>
    <row r="97" spans="4:11" x14ac:dyDescent="0.3">
      <c r="D97" s="50">
        <f ca="1"/>
        <v>1514592000</v>
      </c>
      <c r="E97" s="55">
        <f ca="1"/>
        <v>43099</v>
      </c>
      <c r="F97" s="51">
        <f ca="1"/>
        <v>2.2529999999999999E-5</v>
      </c>
      <c r="G97" s="51">
        <f ca="1"/>
        <v>2.5999999999999998E-5</v>
      </c>
      <c r="H97" s="51">
        <f ca="1"/>
        <v>2.1889999999999999E-5</v>
      </c>
      <c r="I97" s="51">
        <f ca="1"/>
        <v>2.597E-5</v>
      </c>
      <c r="J97" s="56">
        <f ca="1"/>
        <v>7997146.0300000003</v>
      </c>
      <c r="K97" s="56">
        <f ca="1"/>
        <v>194.06</v>
      </c>
    </row>
    <row r="98" spans="4:11" x14ac:dyDescent="0.3">
      <c r="D98" s="50">
        <f ca="1"/>
        <v>1514599200</v>
      </c>
      <c r="E98" s="55">
        <f ca="1"/>
        <v>43099.083333333336</v>
      </c>
      <c r="F98" s="51">
        <f ca="1"/>
        <v>2.597E-5</v>
      </c>
      <c r="G98" s="51">
        <f ca="1"/>
        <v>2.5999999999999998E-5</v>
      </c>
      <c r="H98" s="51">
        <f ca="1"/>
        <v>2.34E-5</v>
      </c>
      <c r="I98" s="51">
        <f ca="1"/>
        <v>2.4470000000000001E-5</v>
      </c>
      <c r="J98" s="56">
        <f ca="1"/>
        <v>7324847.4299999997</v>
      </c>
      <c r="K98" s="56">
        <f ca="1"/>
        <v>176.55</v>
      </c>
    </row>
    <row r="99" spans="4:11" x14ac:dyDescent="0.3">
      <c r="D99" s="50">
        <f ca="1"/>
        <v>1514606400</v>
      </c>
      <c r="E99" s="55">
        <f ca="1"/>
        <v>43099.166666666664</v>
      </c>
      <c r="F99" s="51">
        <f ca="1"/>
        <v>2.4470000000000001E-5</v>
      </c>
      <c r="G99" s="51">
        <f ca="1"/>
        <v>2.5199999999999999E-5</v>
      </c>
      <c r="H99" s="51">
        <f ca="1"/>
        <v>2.1999999999999999E-5</v>
      </c>
      <c r="I99" s="51">
        <f ca="1"/>
        <v>2.3900000000000002E-5</v>
      </c>
      <c r="J99" s="56">
        <f ca="1"/>
        <v>5491341.96</v>
      </c>
      <c r="K99" s="56">
        <f ca="1"/>
        <v>130.28</v>
      </c>
    </row>
    <row r="100" spans="4:11" x14ac:dyDescent="0.3">
      <c r="D100" s="50">
        <f ca="1"/>
        <v>1514613600</v>
      </c>
      <c r="E100" s="55">
        <f ca="1"/>
        <v>43099.25</v>
      </c>
      <c r="F100" s="51">
        <f ca="1"/>
        <v>2.3900000000000002E-5</v>
      </c>
      <c r="G100" s="51">
        <f ca="1"/>
        <v>2.7209999999999999E-5</v>
      </c>
      <c r="H100" s="51">
        <f ca="1"/>
        <v>2.353E-5</v>
      </c>
      <c r="I100" s="51">
        <f ca="1"/>
        <v>2.6990000000000001E-5</v>
      </c>
      <c r="J100" s="56">
        <f ca="1"/>
        <v>7027528.9900000002</v>
      </c>
      <c r="K100" s="56">
        <f ca="1"/>
        <v>180.17</v>
      </c>
    </row>
    <row r="101" spans="4:11" x14ac:dyDescent="0.3">
      <c r="D101" s="50">
        <f ca="1"/>
        <v>1514620800</v>
      </c>
      <c r="E101" s="55">
        <f ca="1"/>
        <v>43099.333333333336</v>
      </c>
      <c r="F101" s="51">
        <f ca="1"/>
        <v>2.6990000000000001E-5</v>
      </c>
      <c r="G101" s="51">
        <f ca="1"/>
        <v>2.722E-5</v>
      </c>
      <c r="H101" s="51">
        <f ca="1"/>
        <v>2.5020000000000001E-5</v>
      </c>
      <c r="I101" s="51">
        <f ca="1"/>
        <v>2.722E-5</v>
      </c>
      <c r="J101" s="56">
        <f ca="1"/>
        <v>6203041.5599999996</v>
      </c>
      <c r="K101" s="56">
        <f ca="1"/>
        <v>166.21</v>
      </c>
    </row>
    <row r="102" spans="4:11" x14ac:dyDescent="0.3">
      <c r="D102" s="50">
        <f ca="1"/>
        <v>1514628000</v>
      </c>
      <c r="E102" s="55">
        <f ca="1"/>
        <v>43099.416666666664</v>
      </c>
      <c r="F102" s="51">
        <f ca="1"/>
        <v>2.722E-5</v>
      </c>
      <c r="G102" s="51">
        <f ca="1"/>
        <v>2.8799999999999999E-5</v>
      </c>
      <c r="H102" s="51">
        <f ca="1"/>
        <v>2.404E-5</v>
      </c>
      <c r="I102" s="51">
        <f ca="1"/>
        <v>2.5729999999999999E-5</v>
      </c>
      <c r="J102" s="56">
        <f ca="1"/>
        <v>11106846.77</v>
      </c>
      <c r="K102" s="56">
        <f ca="1"/>
        <v>295.36</v>
      </c>
    </row>
    <row r="103" spans="4:11" x14ac:dyDescent="0.3">
      <c r="D103" s="50">
        <f ca="1"/>
        <v>1514635200</v>
      </c>
      <c r="E103" s="55">
        <f ca="1"/>
        <v>43099.5</v>
      </c>
      <c r="F103" s="51">
        <f ca="1"/>
        <v>2.5729999999999999E-5</v>
      </c>
      <c r="G103" s="51">
        <f ca="1"/>
        <v>2.597E-5</v>
      </c>
      <c r="H103" s="51">
        <f ca="1"/>
        <v>2.2010000000000001E-5</v>
      </c>
      <c r="I103" s="51">
        <f ca="1"/>
        <v>2.444E-5</v>
      </c>
      <c r="J103" s="56">
        <f ca="1"/>
        <v>7602454.0899999999</v>
      </c>
      <c r="K103" s="56">
        <f ca="1"/>
        <v>182.17</v>
      </c>
    </row>
    <row r="104" spans="4:11" x14ac:dyDescent="0.3">
      <c r="D104" s="50">
        <f ca="1"/>
        <v>1514642400</v>
      </c>
      <c r="E104" s="55">
        <f ca="1"/>
        <v>43099.583333333336</v>
      </c>
      <c r="F104" s="51">
        <f ca="1"/>
        <v>2.444E-5</v>
      </c>
      <c r="G104" s="51">
        <f ca="1"/>
        <v>2.6979999999999999E-5</v>
      </c>
      <c r="H104" s="51">
        <f ca="1"/>
        <v>2.408E-5</v>
      </c>
      <c r="I104" s="51">
        <f ca="1"/>
        <v>2.633E-5</v>
      </c>
      <c r="J104" s="56">
        <f ca="1"/>
        <v>3301649.43</v>
      </c>
      <c r="K104" s="56">
        <f ca="1"/>
        <v>83.92</v>
      </c>
    </row>
    <row r="105" spans="4:11" x14ac:dyDescent="0.3">
      <c r="D105" s="50">
        <f ca="1"/>
        <v>1514649600</v>
      </c>
      <c r="E105" s="55">
        <f ca="1"/>
        <v>43099.666666666664</v>
      </c>
      <c r="F105" s="51">
        <f ca="1"/>
        <v>2.633E-5</v>
      </c>
      <c r="G105" s="51">
        <f ca="1"/>
        <v>2.6780000000000001E-5</v>
      </c>
      <c r="H105" s="51">
        <f ca="1"/>
        <v>2.438E-5</v>
      </c>
      <c r="I105" s="51">
        <f ca="1"/>
        <v>2.5130000000000002E-5</v>
      </c>
      <c r="J105" s="56">
        <f ca="1"/>
        <v>4400511.3899999997</v>
      </c>
      <c r="K105" s="56">
        <f ca="1"/>
        <v>111.31</v>
      </c>
    </row>
    <row r="106" spans="4:11" x14ac:dyDescent="0.3">
      <c r="D106" s="50">
        <f ca="1"/>
        <v>1514656800</v>
      </c>
      <c r="E106" s="55">
        <f ca="1"/>
        <v>43099.75</v>
      </c>
      <c r="F106" s="51">
        <f ca="1"/>
        <v>2.5130000000000002E-5</v>
      </c>
      <c r="G106" s="51">
        <f ca="1"/>
        <v>2.6299999999999999E-5</v>
      </c>
      <c r="H106" s="51">
        <f ca="1"/>
        <v>2.4009999999999999E-5</v>
      </c>
      <c r="I106" s="51">
        <f ca="1"/>
        <v>2.5789999999999999E-5</v>
      </c>
      <c r="J106" s="56">
        <f ca="1"/>
        <v>4040794.18</v>
      </c>
      <c r="K106" s="56">
        <f ca="1"/>
        <v>101.34</v>
      </c>
    </row>
    <row r="107" spans="4:11" x14ac:dyDescent="0.3">
      <c r="D107" s="50">
        <f ca="1"/>
        <v>1514664000</v>
      </c>
      <c r="E107" s="55">
        <f ca="1"/>
        <v>43099.833333333336</v>
      </c>
      <c r="F107" s="51">
        <f ca="1"/>
        <v>2.5789999999999999E-5</v>
      </c>
      <c r="G107" s="51">
        <f ca="1"/>
        <v>2.9300000000000001E-5</v>
      </c>
      <c r="H107" s="51">
        <f ca="1"/>
        <v>2.527E-5</v>
      </c>
      <c r="I107" s="51">
        <f ca="1"/>
        <v>2.6509999999999999E-5</v>
      </c>
      <c r="J107" s="56">
        <f ca="1"/>
        <v>6335981.8300000001</v>
      </c>
      <c r="K107" s="56">
        <f ca="1"/>
        <v>175.57</v>
      </c>
    </row>
    <row r="108" spans="4:11" x14ac:dyDescent="0.3">
      <c r="D108" s="50">
        <f ca="1"/>
        <v>1514671200</v>
      </c>
      <c r="E108" s="55">
        <f ca="1"/>
        <v>43099.916666666664</v>
      </c>
      <c r="F108" s="51">
        <f ca="1"/>
        <v>2.6509999999999999E-5</v>
      </c>
      <c r="G108" s="51">
        <f ca="1"/>
        <v>2.7990000000000001E-5</v>
      </c>
      <c r="H108" s="51">
        <f ca="1"/>
        <v>2.4470000000000001E-5</v>
      </c>
      <c r="I108" s="51">
        <f ca="1"/>
        <v>2.5599999999999999E-5</v>
      </c>
      <c r="J108" s="56">
        <f ca="1"/>
        <v>4652342.67</v>
      </c>
      <c r="K108" s="56">
        <f ca="1"/>
        <v>120.56</v>
      </c>
    </row>
    <row r="109" spans="4:11" x14ac:dyDescent="0.3">
      <c r="D109" s="50">
        <f ca="1"/>
        <v>1514678400</v>
      </c>
      <c r="E109" s="55">
        <f ca="1"/>
        <v>43100</v>
      </c>
      <c r="F109" s="51">
        <f ca="1"/>
        <v>2.5599999999999999E-5</v>
      </c>
      <c r="G109" s="51">
        <f ca="1"/>
        <v>2.6400000000000001E-5</v>
      </c>
      <c r="H109" s="51">
        <f ca="1"/>
        <v>2.3110000000000001E-5</v>
      </c>
      <c r="I109" s="51">
        <f ca="1"/>
        <v>2.548E-5</v>
      </c>
      <c r="J109" s="56">
        <f ca="1"/>
        <v>2525873.21</v>
      </c>
      <c r="K109" s="56">
        <f ca="1"/>
        <v>63.05</v>
      </c>
    </row>
    <row r="110" spans="4:11" x14ac:dyDescent="0.3">
      <c r="D110" s="50">
        <f ca="1"/>
        <v>1514685600</v>
      </c>
      <c r="E110" s="55">
        <f ca="1"/>
        <v>43100.083333333336</v>
      </c>
      <c r="F110" s="51">
        <f ca="1"/>
        <v>2.548E-5</v>
      </c>
      <c r="G110" s="51">
        <f ca="1"/>
        <v>2.5789999999999999E-5</v>
      </c>
      <c r="H110" s="51">
        <f ca="1"/>
        <v>2.3E-5</v>
      </c>
      <c r="I110" s="51">
        <f ca="1"/>
        <v>2.302E-5</v>
      </c>
      <c r="J110" s="56">
        <f ca="1"/>
        <v>2142544.4500000002</v>
      </c>
      <c r="K110" s="56">
        <f ca="1"/>
        <v>52.1</v>
      </c>
    </row>
    <row r="111" spans="4:11" x14ac:dyDescent="0.3">
      <c r="D111" s="50">
        <f ca="1"/>
        <v>1514692800</v>
      </c>
      <c r="E111" s="55">
        <f ca="1"/>
        <v>43100.166666666664</v>
      </c>
      <c r="F111" s="51">
        <f ca="1"/>
        <v>2.302E-5</v>
      </c>
      <c r="G111" s="51">
        <f ca="1"/>
        <v>2.4980000000000001E-5</v>
      </c>
      <c r="H111" s="51">
        <f ca="1"/>
        <v>2.3E-5</v>
      </c>
      <c r="I111" s="51">
        <f ca="1"/>
        <v>2.41E-5</v>
      </c>
      <c r="J111" s="56">
        <f ca="1"/>
        <v>1665262.65</v>
      </c>
      <c r="K111" s="56">
        <f ca="1"/>
        <v>39.770000000000003</v>
      </c>
    </row>
    <row r="112" spans="4:11" x14ac:dyDescent="0.3">
      <c r="D112" s="50">
        <f ca="1"/>
        <v>1514700000</v>
      </c>
      <c r="E112" s="55">
        <f ca="1"/>
        <v>43100.25</v>
      </c>
      <c r="F112" s="51">
        <f ca="1"/>
        <v>2.41E-5</v>
      </c>
      <c r="G112" s="51">
        <f ca="1"/>
        <v>2.4980000000000001E-5</v>
      </c>
      <c r="H112" s="51">
        <f ca="1"/>
        <v>2.3989999999999999E-5</v>
      </c>
      <c r="I112" s="51">
        <f ca="1"/>
        <v>2.4280000000000001E-5</v>
      </c>
      <c r="J112" s="56">
        <f ca="1"/>
        <v>1632671.15</v>
      </c>
      <c r="K112" s="56">
        <f ca="1"/>
        <v>39.700000000000003</v>
      </c>
    </row>
    <row r="113" spans="4:11" x14ac:dyDescent="0.3">
      <c r="D113" s="50">
        <f ca="1"/>
        <v>1514707200</v>
      </c>
      <c r="E113" s="55">
        <f ca="1"/>
        <v>43100.333333333336</v>
      </c>
      <c r="F113" s="51">
        <f ca="1"/>
        <v>2.4280000000000001E-5</v>
      </c>
      <c r="G113" s="51">
        <f ca="1"/>
        <v>2.499E-5</v>
      </c>
      <c r="H113" s="51">
        <f ca="1"/>
        <v>2.4199999999999999E-5</v>
      </c>
      <c r="I113" s="51">
        <f ca="1"/>
        <v>2.4499999999999999E-5</v>
      </c>
      <c r="J113" s="56">
        <f ca="1"/>
        <v>758526.59</v>
      </c>
      <c r="K113" s="56">
        <f ca="1"/>
        <v>18.75</v>
      </c>
    </row>
    <row r="114" spans="4:11" x14ac:dyDescent="0.3">
      <c r="D114" s="50">
        <f ca="1"/>
        <v>1514714400</v>
      </c>
      <c r="E114" s="55">
        <f ca="1"/>
        <v>43100.416666666664</v>
      </c>
      <c r="F114" s="51">
        <f ca="1"/>
        <v>2.4499999999999999E-5</v>
      </c>
      <c r="G114" s="51">
        <f ca="1"/>
        <v>2.5000000000000001E-5</v>
      </c>
      <c r="H114" s="51">
        <f ca="1"/>
        <v>2.4009999999999999E-5</v>
      </c>
      <c r="I114" s="51">
        <f ca="1"/>
        <v>2.499E-5</v>
      </c>
      <c r="J114" s="56">
        <f ca="1"/>
        <v>1116405.3899999999</v>
      </c>
      <c r="K114" s="56">
        <f ca="1"/>
        <v>27.58</v>
      </c>
    </row>
    <row r="115" spans="4:11" x14ac:dyDescent="0.3">
      <c r="D115" s="50">
        <f ca="1"/>
        <v>1514721600</v>
      </c>
      <c r="E115" s="55">
        <f ca="1"/>
        <v>43100.5</v>
      </c>
      <c r="F115" s="51">
        <f ca="1"/>
        <v>2.499E-5</v>
      </c>
      <c r="G115" s="51">
        <f ca="1"/>
        <v>2.69E-5</v>
      </c>
      <c r="H115" s="51">
        <f ca="1"/>
        <v>2.4649999999999999E-5</v>
      </c>
      <c r="I115" s="51">
        <f ca="1"/>
        <v>2.601E-5</v>
      </c>
      <c r="J115" s="56">
        <f ca="1"/>
        <v>1522811.08</v>
      </c>
      <c r="K115" s="56">
        <f ca="1"/>
        <v>39.590000000000003</v>
      </c>
    </row>
    <row r="116" spans="4:11" x14ac:dyDescent="0.3">
      <c r="D116" s="50">
        <f ca="1"/>
        <v>1514728800</v>
      </c>
      <c r="E116" s="55">
        <f ca="1"/>
        <v>43100.583333333336</v>
      </c>
      <c r="F116" s="51">
        <f ca="1"/>
        <v>2.601E-5</v>
      </c>
      <c r="G116" s="51">
        <f ca="1"/>
        <v>2.62E-5</v>
      </c>
      <c r="H116" s="51">
        <f ca="1"/>
        <v>2.5219999999999999E-5</v>
      </c>
      <c r="I116" s="51">
        <f ca="1"/>
        <v>2.548E-5</v>
      </c>
      <c r="J116" s="56">
        <f ca="1"/>
        <v>1263137.21</v>
      </c>
      <c r="K116" s="56">
        <f ca="1"/>
        <v>32.630000000000003</v>
      </c>
    </row>
    <row r="117" spans="4:11" x14ac:dyDescent="0.3">
      <c r="D117" s="50">
        <f ca="1"/>
        <v>1514736000</v>
      </c>
      <c r="E117" s="55">
        <f ca="1"/>
        <v>43100.666666666664</v>
      </c>
      <c r="F117" s="51">
        <f ca="1"/>
        <v>2.548E-5</v>
      </c>
      <c r="G117" s="51">
        <f ca="1"/>
        <v>2.6800000000000001E-5</v>
      </c>
      <c r="H117" s="51">
        <f ca="1"/>
        <v>2.4000000000000001E-5</v>
      </c>
      <c r="I117" s="51">
        <f ca="1"/>
        <v>2.65E-5</v>
      </c>
      <c r="J117" s="56">
        <f ca="1"/>
        <v>2317324.64</v>
      </c>
      <c r="K117" s="56">
        <f ca="1"/>
        <v>58.39</v>
      </c>
    </row>
    <row r="118" spans="4:11" x14ac:dyDescent="0.3">
      <c r="D118" s="50">
        <f ca="1"/>
        <v>1514743200</v>
      </c>
      <c r="E118" s="55">
        <f ca="1"/>
        <v>43100.75</v>
      </c>
      <c r="F118" s="51">
        <f ca="1"/>
        <v>2.65E-5</v>
      </c>
      <c r="G118" s="51">
        <f ca="1"/>
        <v>2.6950000000000001E-5</v>
      </c>
      <c r="H118" s="51">
        <f ca="1"/>
        <v>2.5000000000000001E-5</v>
      </c>
      <c r="I118" s="51">
        <f ca="1"/>
        <v>2.586E-5</v>
      </c>
      <c r="J118" s="56">
        <f ca="1"/>
        <v>1534741.09</v>
      </c>
      <c r="K118" s="56">
        <f ca="1"/>
        <v>39.92</v>
      </c>
    </row>
    <row r="119" spans="4:11" x14ac:dyDescent="0.3">
      <c r="D119" s="50">
        <f ca="1"/>
        <v>1514750400</v>
      </c>
      <c r="E119" s="55">
        <f ca="1"/>
        <v>43100.833333333336</v>
      </c>
      <c r="F119" s="51">
        <f ca="1"/>
        <v>2.586E-5</v>
      </c>
      <c r="G119" s="51">
        <f ca="1"/>
        <v>2.6279999999999999E-5</v>
      </c>
      <c r="H119" s="51">
        <f ca="1"/>
        <v>2.4830000000000001E-5</v>
      </c>
      <c r="I119" s="51">
        <f ca="1"/>
        <v>2.5829999999999998E-5</v>
      </c>
      <c r="J119" s="56">
        <f ca="1"/>
        <v>848446.49</v>
      </c>
      <c r="K119" s="56">
        <f ca="1"/>
        <v>21.61</v>
      </c>
    </row>
    <row r="120" spans="4:11" x14ac:dyDescent="0.3">
      <c r="D120" s="50">
        <f ca="1"/>
        <v>1514757600</v>
      </c>
      <c r="E120" s="55">
        <f ca="1"/>
        <v>43100.916666666664</v>
      </c>
      <c r="F120" s="51">
        <f ca="1"/>
        <v>2.5829999999999998E-5</v>
      </c>
      <c r="G120" s="51">
        <f ca="1"/>
        <v>2.65E-5</v>
      </c>
      <c r="H120" s="51">
        <f ca="1"/>
        <v>2.5299999999999998E-5</v>
      </c>
      <c r="I120" s="51">
        <f ca="1"/>
        <v>2.6400000000000001E-5</v>
      </c>
      <c r="J120" s="56">
        <f ca="1"/>
        <v>905314.75</v>
      </c>
      <c r="K120" s="56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5"/>
  <sheetViews>
    <sheetView workbookViewId="0">
      <selection activeCell="C3" sqref="C3"/>
    </sheetView>
  </sheetViews>
  <sheetFormatPr defaultRowHeight="14.4" x14ac:dyDescent="0.3"/>
  <cols>
    <col min="1" max="2" width="2.5546875" customWidth="1"/>
    <col min="3" max="3" width="11.33203125" customWidth="1"/>
  </cols>
  <sheetData>
    <row r="2" spans="3:11" x14ac:dyDescent="0.3">
      <c r="D2" s="1" t="s">
        <v>228</v>
      </c>
    </row>
    <row r="3" spans="3:11" x14ac:dyDescent="0.3">
      <c r="C3" s="58" t="s">
        <v>291</v>
      </c>
      <c r="D3" s="1" t="s">
        <v>288</v>
      </c>
    </row>
    <row r="4" spans="3:11" x14ac:dyDescent="0.3">
      <c r="C4" s="58" t="s">
        <v>82</v>
      </c>
      <c r="D4" s="1" t="s">
        <v>229</v>
      </c>
    </row>
    <row r="5" spans="3:11" x14ac:dyDescent="0.3">
      <c r="C5" s="58" t="s">
        <v>55</v>
      </c>
      <c r="D5" s="1" t="s">
        <v>230</v>
      </c>
    </row>
    <row r="6" spans="3:11" x14ac:dyDescent="0.3">
      <c r="C6" s="58" t="s">
        <v>286</v>
      </c>
      <c r="D6" s="1" t="s">
        <v>245</v>
      </c>
      <c r="K6" s="49" t="s">
        <v>246</v>
      </c>
    </row>
    <row r="7" spans="3:11" x14ac:dyDescent="0.3">
      <c r="C7" s="58">
        <v>5</v>
      </c>
      <c r="D7" s="1" t="s">
        <v>247</v>
      </c>
    </row>
    <row r="8" spans="3:11" x14ac:dyDescent="0.3">
      <c r="C8" s="59"/>
      <c r="D8" s="1" t="s">
        <v>248</v>
      </c>
    </row>
    <row r="9" spans="3:11" x14ac:dyDescent="0.3">
      <c r="C9" s="58"/>
      <c r="D9" s="1" t="s">
        <v>231</v>
      </c>
    </row>
    <row r="11" spans="3:11" x14ac:dyDescent="0.3">
      <c r="D11" s="35"/>
    </row>
    <row r="12" spans="3:11" x14ac:dyDescent="0.3">
      <c r="C12" s="18" t="s">
        <v>283</v>
      </c>
      <c r="D12" s="18"/>
      <c r="E12" s="18"/>
      <c r="F12" s="18"/>
      <c r="G12" s="18"/>
      <c r="H12" s="18"/>
    </row>
    <row r="13" spans="3:11" x14ac:dyDescent="0.3">
      <c r="C13" t="s">
        <v>8</v>
      </c>
      <c r="D13" t="s">
        <v>284</v>
      </c>
      <c r="E13" t="s">
        <v>285</v>
      </c>
      <c r="F13" t="s">
        <v>287</v>
      </c>
    </row>
    <row r="14" spans="3:11" x14ac:dyDescent="0.3">
      <c r="C14" s="57">
        <v>43149</v>
      </c>
      <c r="D14">
        <v>8.4250000000000005E-2</v>
      </c>
      <c r="E14">
        <v>77935.66</v>
      </c>
      <c r="F14">
        <v>895277.82</v>
      </c>
    </row>
    <row r="15" spans="3:11" x14ac:dyDescent="0.3">
      <c r="C15" s="57">
        <v>43151</v>
      </c>
      <c r="D15">
        <v>8.0130000000000007E-2</v>
      </c>
      <c r="E15">
        <v>89129.299999999901</v>
      </c>
      <c r="F15">
        <v>1105204.43</v>
      </c>
    </row>
    <row r="16" spans="3:11" x14ac:dyDescent="0.3">
      <c r="C16" s="57">
        <v>43153</v>
      </c>
      <c r="D16">
        <v>8.4220000000000003E-2</v>
      </c>
      <c r="E16">
        <v>74643.37</v>
      </c>
      <c r="F16">
        <v>903181.26</v>
      </c>
    </row>
    <row r="17" spans="3:6" x14ac:dyDescent="0.3">
      <c r="C17" s="57">
        <v>43155</v>
      </c>
      <c r="D17">
        <v>8.7830000000000005E-2</v>
      </c>
      <c r="E17">
        <v>63632.2599999999</v>
      </c>
      <c r="F17">
        <v>740869.61</v>
      </c>
    </row>
    <row r="18" spans="3:6" x14ac:dyDescent="0.3">
      <c r="C18" s="57">
        <v>43157</v>
      </c>
      <c r="D18">
        <v>8.2220000000000001E-2</v>
      </c>
      <c r="E18">
        <v>78712.59</v>
      </c>
      <c r="F18">
        <v>924928.87</v>
      </c>
    </row>
    <row r="19" spans="3:6" x14ac:dyDescent="0.3">
      <c r="C19" s="57">
        <v>43159</v>
      </c>
      <c r="D19">
        <v>8.2830000000000001E-2</v>
      </c>
      <c r="E19">
        <v>28135.07</v>
      </c>
      <c r="F19">
        <v>343769.85</v>
      </c>
    </row>
    <row r="20" spans="3:6" x14ac:dyDescent="0.3">
      <c r="C20" s="57"/>
    </row>
    <row r="21" spans="3:6" x14ac:dyDescent="0.3">
      <c r="C21" s="57"/>
    </row>
    <row r="22" spans="3:6" x14ac:dyDescent="0.3">
      <c r="C22" s="57"/>
    </row>
    <row r="23" spans="3:6" x14ac:dyDescent="0.3">
      <c r="C23" s="57"/>
    </row>
    <row r="24" spans="3:6" x14ac:dyDescent="0.3">
      <c r="C24" s="57"/>
    </row>
    <row r="25" spans="3:6" x14ac:dyDescent="0.3">
      <c r="C25" s="57"/>
    </row>
    <row r="26" spans="3:6" x14ac:dyDescent="0.3">
      <c r="C26" s="57"/>
    </row>
    <row r="27" spans="3:6" x14ac:dyDescent="0.3">
      <c r="C27" s="57"/>
    </row>
    <row r="28" spans="3:6" x14ac:dyDescent="0.3">
      <c r="C28" s="57"/>
    </row>
    <row r="29" spans="3:6" x14ac:dyDescent="0.3">
      <c r="C29" s="57"/>
    </row>
    <row r="30" spans="3:6" x14ac:dyDescent="0.3">
      <c r="C30" s="57"/>
    </row>
    <row r="31" spans="3:6" x14ac:dyDescent="0.3">
      <c r="C31" s="57"/>
    </row>
    <row r="32" spans="3:6" x14ac:dyDescent="0.3">
      <c r="C32" s="57"/>
    </row>
    <row r="33" spans="3:3" x14ac:dyDescent="0.3">
      <c r="C33" s="57"/>
    </row>
    <row r="34" spans="3:3" x14ac:dyDescent="0.3">
      <c r="C34" s="57"/>
    </row>
    <row r="35" spans="3:3" x14ac:dyDescent="0.3">
      <c r="C35" s="57"/>
    </row>
    <row r="36" spans="3:3" x14ac:dyDescent="0.3">
      <c r="C36" s="57"/>
    </row>
    <row r="37" spans="3:3" x14ac:dyDescent="0.3">
      <c r="C37" s="57"/>
    </row>
    <row r="38" spans="3:3" x14ac:dyDescent="0.3">
      <c r="C38" s="57"/>
    </row>
    <row r="39" spans="3:3" x14ac:dyDescent="0.3">
      <c r="C39" s="57"/>
    </row>
    <row r="40" spans="3:3" x14ac:dyDescent="0.3">
      <c r="C40" s="57"/>
    </row>
    <row r="41" spans="3:3" x14ac:dyDescent="0.3">
      <c r="C41" s="57"/>
    </row>
    <row r="42" spans="3:3" x14ac:dyDescent="0.3">
      <c r="C42" s="57"/>
    </row>
    <row r="43" spans="3:3" x14ac:dyDescent="0.3">
      <c r="C43" s="57"/>
    </row>
    <row r="44" spans="3:3" x14ac:dyDescent="0.3">
      <c r="C44" s="57"/>
    </row>
    <row r="45" spans="3:3" x14ac:dyDescent="0.3">
      <c r="C45" s="5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9</xdr:row>
                <xdr:rowOff>76200</xdr:rowOff>
              </from>
              <to>
                <xdr:col>12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3"/>
  <sheetViews>
    <sheetView zoomScale="85" zoomScaleNormal="85" workbookViewId="0">
      <selection activeCell="C2" sqref="C2:C3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25</v>
      </c>
    </row>
    <row r="3" spans="2:6" x14ac:dyDescent="0.3">
      <c r="B3" s="1" t="s">
        <v>5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x14ac:dyDescent="0.3">
      <c r="B7" s="17">
        <v>1</v>
      </c>
      <c r="C7" s="15" t="s">
        <v>19</v>
      </c>
      <c r="D7" s="15" t="s">
        <v>20</v>
      </c>
      <c r="E7" s="15">
        <v>0</v>
      </c>
      <c r="F7" s="16" t="s">
        <v>21</v>
      </c>
    </row>
    <row r="8" spans="2:6" x14ac:dyDescent="0.3">
      <c r="B8" s="17">
        <v>1</v>
      </c>
      <c r="C8" s="15" t="s">
        <v>19</v>
      </c>
      <c r="D8" s="15" t="s">
        <v>4</v>
      </c>
      <c r="E8" s="15">
        <v>2</v>
      </c>
      <c r="F8" s="16" t="s">
        <v>21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1517487335</v>
      </c>
      <c r="F9" s="16" t="s">
        <v>22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279</v>
      </c>
      <c r="F10" s="14" t="s">
        <v>22</v>
      </c>
    </row>
    <row r="13" spans="2:6" ht="15" thickBot="1" x14ac:dyDescent="0.35">
      <c r="B13" s="18" t="s">
        <v>24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1517487335</v>
      </c>
      <c r="D15" s="8" t="s">
        <v>279</v>
      </c>
    </row>
    <row r="19" spans="2:3" x14ac:dyDescent="0.3">
      <c r="B19" s="18" t="s">
        <v>278</v>
      </c>
      <c r="C19" s="18"/>
    </row>
    <row r="20" spans="2:3" x14ac:dyDescent="0.3">
      <c r="B20" t="s">
        <v>1</v>
      </c>
      <c r="C20" t="s">
        <v>4</v>
      </c>
    </row>
    <row r="21" spans="2:3" x14ac:dyDescent="0.3">
      <c r="B21" t="s">
        <v>275</v>
      </c>
      <c r="C21">
        <v>0</v>
      </c>
    </row>
    <row r="22" spans="2:3" x14ac:dyDescent="0.3">
      <c r="B22" t="s">
        <v>276</v>
      </c>
      <c r="C22">
        <v>21776.44</v>
      </c>
    </row>
    <row r="23" spans="2:3" x14ac:dyDescent="0.3">
      <c r="B23" t="s">
        <v>277</v>
      </c>
      <c r="C23">
        <v>4.3339999999999997E-2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2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47</v>
      </c>
      <c r="C2" s="2" t="s">
        <v>25</v>
      </c>
    </row>
    <row r="3" spans="2:6" x14ac:dyDescent="0.3">
      <c r="B3" s="1" t="s">
        <v>48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50</v>
      </c>
      <c r="E8" s="15"/>
      <c r="F8" s="16" t="s">
        <v>22</v>
      </c>
    </row>
    <row r="9" spans="2:6" x14ac:dyDescent="0.3">
      <c r="B9" s="17">
        <v>1</v>
      </c>
      <c r="C9" s="15" t="s">
        <v>19</v>
      </c>
      <c r="D9" s="15" t="s">
        <v>4</v>
      </c>
      <c r="E9" s="15">
        <v>3</v>
      </c>
      <c r="F9" s="16" t="s">
        <v>21</v>
      </c>
    </row>
    <row r="10" spans="2:6" x14ac:dyDescent="0.3">
      <c r="B10" s="17">
        <v>2</v>
      </c>
      <c r="C10" s="15" t="s">
        <v>4</v>
      </c>
      <c r="D10" s="15" t="s">
        <v>51</v>
      </c>
      <c r="E10" s="15">
        <v>4.7E-7</v>
      </c>
      <c r="F10" s="16" t="s">
        <v>22</v>
      </c>
    </row>
    <row r="11" spans="2:6" x14ac:dyDescent="0.3">
      <c r="B11" s="21">
        <v>2</v>
      </c>
      <c r="C11" s="22" t="s">
        <v>4</v>
      </c>
      <c r="D11" s="22" t="s">
        <v>52</v>
      </c>
      <c r="E11" s="22">
        <v>4.7999999999999996E-7</v>
      </c>
      <c r="F11" s="23" t="s">
        <v>22</v>
      </c>
    </row>
    <row r="12" spans="2:6" ht="15" thickBot="1" x14ac:dyDescent="0.35">
      <c r="B12" s="6">
        <v>2</v>
      </c>
      <c r="C12" s="7" t="s">
        <v>4</v>
      </c>
      <c r="D12" s="7" t="s">
        <v>53</v>
      </c>
      <c r="E12" s="7">
        <v>4.7999999999999996E-7</v>
      </c>
      <c r="F12" s="8" t="s">
        <v>22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51</v>
      </c>
      <c r="D16" s="28" t="s">
        <v>52</v>
      </c>
      <c r="E16" s="29" t="s">
        <v>53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8" t="s">
        <v>60</v>
      </c>
      <c r="C21" s="18"/>
      <c r="D21" s="18"/>
    </row>
    <row r="22" spans="2:8" x14ac:dyDescent="0.3">
      <c r="B22" t="s">
        <v>1</v>
      </c>
      <c r="C22" t="s">
        <v>6</v>
      </c>
      <c r="D22" t="s">
        <v>54</v>
      </c>
      <c r="E22" t="s">
        <v>56</v>
      </c>
      <c r="F22" t="s">
        <v>57</v>
      </c>
      <c r="G22" t="s">
        <v>58</v>
      </c>
      <c r="H22" t="s">
        <v>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zoomScale="85" zoomScaleNormal="85" workbookViewId="0">
      <selection activeCell="B10" sqref="B10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73</v>
      </c>
      <c r="C2" s="2" t="s">
        <v>25</v>
      </c>
    </row>
    <row r="3" spans="2:6" x14ac:dyDescent="0.3">
      <c r="B3" s="1" t="s">
        <v>74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ht="15" thickBot="1" x14ac:dyDescent="0.35">
      <c r="B7" s="12">
        <v>1</v>
      </c>
      <c r="C7" s="13" t="s">
        <v>19</v>
      </c>
      <c r="D7" s="13" t="s">
        <v>75</v>
      </c>
      <c r="E7" s="41">
        <v>1513850504147</v>
      </c>
      <c r="F7" s="14" t="s">
        <v>22</v>
      </c>
    </row>
    <row r="10" spans="2:6" ht="15" thickBot="1" x14ac:dyDescent="0.35">
      <c r="B10" s="18" t="s">
        <v>24</v>
      </c>
      <c r="D10" s="18" t="s">
        <v>76</v>
      </c>
      <c r="E10" s="18"/>
    </row>
    <row r="11" spans="2:6" x14ac:dyDescent="0.3">
      <c r="B11" s="38" t="s">
        <v>75</v>
      </c>
      <c r="D11" s="27" t="s">
        <v>83</v>
      </c>
      <c r="E11" s="29" t="s">
        <v>77</v>
      </c>
    </row>
    <row r="12" spans="2:6" ht="15" thickBot="1" x14ac:dyDescent="0.35">
      <c r="B12" s="39">
        <v>1513850504147</v>
      </c>
      <c r="D12" s="37">
        <v>1513854104300</v>
      </c>
      <c r="E12" s="40">
        <f>B12-D12</f>
        <v>-3600153</v>
      </c>
    </row>
    <row r="16" spans="2:6" x14ac:dyDescent="0.3">
      <c r="B16" s="18" t="s">
        <v>84</v>
      </c>
      <c r="C16" s="18"/>
      <c r="D16" s="18"/>
    </row>
    <row r="17" spans="2:6" x14ac:dyDescent="0.3">
      <c r="B17" t="s">
        <v>1</v>
      </c>
      <c r="C17" t="s">
        <v>6</v>
      </c>
      <c r="D17" t="s">
        <v>10</v>
      </c>
      <c r="E17" t="s">
        <v>79</v>
      </c>
      <c r="F17" t="s">
        <v>80</v>
      </c>
    </row>
    <row r="18" spans="2:6" x14ac:dyDescent="0.3">
      <c r="B18" t="s">
        <v>78</v>
      </c>
      <c r="C18">
        <v>1</v>
      </c>
      <c r="D18" t="s">
        <v>55</v>
      </c>
      <c r="E18">
        <v>0</v>
      </c>
      <c r="F18">
        <v>0</v>
      </c>
    </row>
    <row r="19" spans="2:6" x14ac:dyDescent="0.3">
      <c r="B19" t="s">
        <v>78</v>
      </c>
      <c r="C19">
        <v>2</v>
      </c>
      <c r="D19" t="s">
        <v>81</v>
      </c>
      <c r="E19">
        <v>0</v>
      </c>
      <c r="F19">
        <v>0</v>
      </c>
    </row>
    <row r="20" spans="2:6" x14ac:dyDescent="0.3">
      <c r="B20" t="s">
        <v>78</v>
      </c>
      <c r="C20">
        <v>3</v>
      </c>
      <c r="D20" t="s">
        <v>82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zoomScale="85" zoomScaleNormal="85" workbookViewId="0">
      <selection activeCell="B25" sqref="B25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61</v>
      </c>
      <c r="C2" s="2" t="s">
        <v>25</v>
      </c>
    </row>
    <row r="3" spans="2:6" x14ac:dyDescent="0.3">
      <c r="B3" s="1" t="s">
        <v>62</v>
      </c>
      <c r="C3" s="2" t="s">
        <v>26</v>
      </c>
    </row>
    <row r="5" spans="2:6" ht="15" thickBot="1" x14ac:dyDescent="0.35">
      <c r="B5" s="18" t="s">
        <v>23</v>
      </c>
      <c r="C5" s="19"/>
      <c r="D5" s="19"/>
    </row>
    <row r="6" spans="2:6" x14ac:dyDescent="0.3">
      <c r="B6" s="9" t="s">
        <v>14</v>
      </c>
      <c r="C6" s="10" t="s">
        <v>15</v>
      </c>
      <c r="D6" s="10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85</v>
      </c>
      <c r="E7" s="22">
        <v>1</v>
      </c>
      <c r="F7" s="23" t="s">
        <v>21</v>
      </c>
    </row>
    <row r="8" spans="2:6" x14ac:dyDescent="0.3">
      <c r="B8" s="21">
        <v>2</v>
      </c>
      <c r="C8" s="22" t="s">
        <v>85</v>
      </c>
      <c r="D8" s="22">
        <v>1</v>
      </c>
      <c r="E8" s="22">
        <v>2</v>
      </c>
      <c r="F8" s="23" t="s">
        <v>21</v>
      </c>
    </row>
    <row r="9" spans="2:6" x14ac:dyDescent="0.3">
      <c r="B9" s="21">
        <v>3</v>
      </c>
      <c r="C9" s="22">
        <v>1</v>
      </c>
      <c r="D9" s="22">
        <v>1</v>
      </c>
      <c r="E9" s="22">
        <v>4.9996770000000003E-2</v>
      </c>
      <c r="F9" s="23" t="s">
        <v>22</v>
      </c>
    </row>
    <row r="10" spans="2:6" x14ac:dyDescent="0.3">
      <c r="B10" s="21">
        <v>3</v>
      </c>
      <c r="C10" s="22">
        <v>1</v>
      </c>
      <c r="D10" s="22">
        <v>2</v>
      </c>
      <c r="E10" s="22">
        <v>4.9949746700000004</v>
      </c>
      <c r="F10" s="23" t="s">
        <v>22</v>
      </c>
    </row>
    <row r="11" spans="2:6" x14ac:dyDescent="0.3">
      <c r="B11" s="21">
        <v>1</v>
      </c>
      <c r="C11" s="22" t="s">
        <v>19</v>
      </c>
      <c r="D11" s="22" t="s">
        <v>86</v>
      </c>
      <c r="E11" s="22">
        <v>1</v>
      </c>
      <c r="F11" s="23" t="s">
        <v>21</v>
      </c>
    </row>
    <row r="12" spans="2:6" x14ac:dyDescent="0.3">
      <c r="B12" s="21">
        <v>2</v>
      </c>
      <c r="C12" s="22" t="s">
        <v>86</v>
      </c>
      <c r="D12" s="22">
        <v>1</v>
      </c>
      <c r="E12" s="22">
        <v>2</v>
      </c>
      <c r="F12" s="23" t="s">
        <v>21</v>
      </c>
    </row>
    <row r="13" spans="2:6" x14ac:dyDescent="0.3">
      <c r="B13" s="21">
        <v>3</v>
      </c>
      <c r="C13" s="22">
        <v>1</v>
      </c>
      <c r="D13" s="22">
        <v>1</v>
      </c>
      <c r="E13" s="22">
        <v>4.9885029999999997E-2</v>
      </c>
      <c r="F13" s="23" t="s">
        <v>22</v>
      </c>
    </row>
    <row r="14" spans="2:6" x14ac:dyDescent="0.3">
      <c r="B14" s="21">
        <v>3</v>
      </c>
      <c r="C14" s="22">
        <v>1</v>
      </c>
      <c r="D14" s="22">
        <v>2</v>
      </c>
      <c r="E14" s="22">
        <v>26.324120059999998</v>
      </c>
      <c r="F14" s="23" t="s">
        <v>22</v>
      </c>
    </row>
    <row r="15" spans="2:6" x14ac:dyDescent="0.3">
      <c r="B15" s="21">
        <v>1</v>
      </c>
      <c r="C15" s="22" t="s">
        <v>19</v>
      </c>
      <c r="D15" s="22" t="s">
        <v>87</v>
      </c>
      <c r="E15" s="22">
        <v>0</v>
      </c>
      <c r="F15" s="23" t="s">
        <v>22</v>
      </c>
    </row>
    <row r="16" spans="2:6" ht="15" thickBot="1" x14ac:dyDescent="0.35">
      <c r="B16" s="6">
        <v>1</v>
      </c>
      <c r="C16" s="7" t="s">
        <v>19</v>
      </c>
      <c r="D16" s="7" t="s">
        <v>88</v>
      </c>
      <c r="E16" s="7">
        <v>459077833</v>
      </c>
      <c r="F16" s="8" t="s">
        <v>22</v>
      </c>
    </row>
    <row r="19" spans="2:13" ht="15" thickBot="1" x14ac:dyDescent="0.35">
      <c r="B19" s="18" t="s">
        <v>24</v>
      </c>
      <c r="C19" s="18"/>
      <c r="D19" s="18"/>
    </row>
    <row r="20" spans="2:13" x14ac:dyDescent="0.3">
      <c r="B20" s="3" t="s">
        <v>1</v>
      </c>
      <c r="C20" s="4" t="s">
        <v>6</v>
      </c>
      <c r="D20" s="4" t="s">
        <v>89</v>
      </c>
      <c r="E20" s="5" t="s">
        <v>90</v>
      </c>
    </row>
    <row r="21" spans="2:13" x14ac:dyDescent="0.3">
      <c r="B21" s="21" t="s">
        <v>85</v>
      </c>
      <c r="C21" s="22">
        <v>1</v>
      </c>
      <c r="D21" s="42">
        <v>4.9996770000000003E-2</v>
      </c>
      <c r="E21" s="43">
        <v>4.9949746700000004</v>
      </c>
    </row>
    <row r="22" spans="2:13" ht="15" thickBot="1" x14ac:dyDescent="0.35">
      <c r="B22" s="6" t="s">
        <v>86</v>
      </c>
      <c r="C22" s="7">
        <v>1</v>
      </c>
      <c r="D22" s="44">
        <v>4.9885029999999997E-2</v>
      </c>
      <c r="E22" s="45">
        <v>26.324120059999998</v>
      </c>
    </row>
    <row r="25" spans="2:13" x14ac:dyDescent="0.3">
      <c r="B25" s="18" t="s">
        <v>91</v>
      </c>
    </row>
    <row r="26" spans="2:13" x14ac:dyDescent="0.3">
      <c r="B26" t="s">
        <v>1</v>
      </c>
      <c r="C26" t="s">
        <v>6</v>
      </c>
      <c r="D26" t="s">
        <v>94</v>
      </c>
      <c r="E26" t="s">
        <v>95</v>
      </c>
      <c r="F26" s="46" t="s">
        <v>45</v>
      </c>
      <c r="G26" t="s">
        <v>41</v>
      </c>
      <c r="H26" t="s">
        <v>11</v>
      </c>
      <c r="I26" t="s">
        <v>96</v>
      </c>
      <c r="J26" t="s">
        <v>12</v>
      </c>
      <c r="K26" t="s">
        <v>97</v>
      </c>
      <c r="L26" t="s">
        <v>9</v>
      </c>
      <c r="M26" t="s">
        <v>98</v>
      </c>
    </row>
    <row r="27" spans="2:13" x14ac:dyDescent="0.3">
      <c r="B27" t="s">
        <v>92</v>
      </c>
      <c r="C27">
        <v>1</v>
      </c>
      <c r="D27">
        <v>999</v>
      </c>
      <c r="E27">
        <v>1888</v>
      </c>
      <c r="F27" s="46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35</v>
      </c>
      <c r="M27" t="s">
        <v>93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zoomScale="85" zoomScaleNormal="85" workbookViewId="0">
      <selection activeCell="C2" sqref="C2:C3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6" t="s">
        <v>70</v>
      </c>
    </row>
    <row r="2" spans="2:6" x14ac:dyDescent="0.3">
      <c r="B2" s="1" t="s">
        <v>65</v>
      </c>
      <c r="C2" s="2" t="s">
        <v>25</v>
      </c>
    </row>
    <row r="3" spans="2:6" x14ac:dyDescent="0.3">
      <c r="B3" s="1" t="s">
        <v>66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27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27</v>
      </c>
      <c r="D8" s="22" t="s">
        <v>28</v>
      </c>
      <c r="E8" s="25">
        <v>2449.6142100000002</v>
      </c>
      <c r="F8" s="23" t="s">
        <v>22</v>
      </c>
    </row>
    <row r="9" spans="2:6" x14ac:dyDescent="0.3">
      <c r="B9" s="21">
        <v>2</v>
      </c>
      <c r="C9" s="22" t="s">
        <v>27</v>
      </c>
      <c r="D9" s="22" t="s">
        <v>29</v>
      </c>
      <c r="E9" s="25">
        <v>2330</v>
      </c>
      <c r="F9" s="23" t="s">
        <v>22</v>
      </c>
    </row>
    <row r="10" spans="2:6" x14ac:dyDescent="0.3">
      <c r="B10" s="21">
        <v>2</v>
      </c>
      <c r="C10" s="22" t="s">
        <v>27</v>
      </c>
      <c r="D10" s="22" t="s">
        <v>30</v>
      </c>
      <c r="E10" s="25">
        <v>2389.8071049999999</v>
      </c>
      <c r="F10" s="23" t="s">
        <v>22</v>
      </c>
    </row>
    <row r="11" spans="2:6" x14ac:dyDescent="0.3">
      <c r="B11" s="21">
        <v>2</v>
      </c>
      <c r="C11" s="22" t="s">
        <v>27</v>
      </c>
      <c r="D11" s="22" t="s">
        <v>31</v>
      </c>
      <c r="E11" s="25">
        <v>453713.54395000002</v>
      </c>
      <c r="F11" s="23" t="s">
        <v>22</v>
      </c>
    </row>
    <row r="12" spans="2:6" x14ac:dyDescent="0.3">
      <c r="B12" s="21">
        <v>2</v>
      </c>
      <c r="C12" s="22" t="s">
        <v>27</v>
      </c>
      <c r="D12" s="22" t="s">
        <v>32</v>
      </c>
      <c r="E12" s="25">
        <v>190.49576999999999</v>
      </c>
      <c r="F12" s="23" t="s">
        <v>22</v>
      </c>
    </row>
    <row r="13" spans="2:6" x14ac:dyDescent="0.3">
      <c r="B13" s="21">
        <v>2</v>
      </c>
      <c r="C13" s="22" t="s">
        <v>27</v>
      </c>
      <c r="D13" s="22" t="s">
        <v>33</v>
      </c>
      <c r="E13" s="25">
        <v>2430.0666799999999</v>
      </c>
      <c r="F13" s="23" t="s">
        <v>22</v>
      </c>
    </row>
    <row r="14" spans="2:6" x14ac:dyDescent="0.3">
      <c r="B14" s="21">
        <v>2</v>
      </c>
      <c r="C14" s="22" t="s">
        <v>27</v>
      </c>
      <c r="D14" s="22" t="s">
        <v>34</v>
      </c>
      <c r="E14" s="25">
        <v>2447.9999899999998</v>
      </c>
      <c r="F14" s="23" t="s">
        <v>22</v>
      </c>
    </row>
    <row r="15" spans="2:6" x14ac:dyDescent="0.3">
      <c r="B15" s="21">
        <v>2</v>
      </c>
      <c r="C15" s="22" t="s">
        <v>27</v>
      </c>
      <c r="D15" s="22" t="s">
        <v>35</v>
      </c>
      <c r="E15" s="25">
        <v>2430.1</v>
      </c>
      <c r="F15" s="23" t="s">
        <v>22</v>
      </c>
    </row>
    <row r="16" spans="2:6" x14ac:dyDescent="0.3">
      <c r="B16" s="21">
        <v>2</v>
      </c>
      <c r="C16" s="22" t="s">
        <v>27</v>
      </c>
      <c r="D16" s="22" t="s">
        <v>36</v>
      </c>
      <c r="E16" s="22">
        <v>1497027712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37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37</v>
      </c>
      <c r="D18" s="22" t="s">
        <v>28</v>
      </c>
      <c r="E18" s="25">
        <v>239</v>
      </c>
      <c r="F18" s="23" t="s">
        <v>22</v>
      </c>
    </row>
    <row r="19" spans="2:12" x14ac:dyDescent="0.3">
      <c r="B19" s="21">
        <v>2</v>
      </c>
      <c r="C19" s="22" t="s">
        <v>37</v>
      </c>
      <c r="D19" s="22" t="s">
        <v>29</v>
      </c>
      <c r="E19" s="25">
        <v>217.56179</v>
      </c>
      <c r="F19" s="23" t="s">
        <v>22</v>
      </c>
    </row>
    <row r="20" spans="2:12" x14ac:dyDescent="0.3">
      <c r="B20" s="21">
        <v>2</v>
      </c>
      <c r="C20" s="22" t="s">
        <v>37</v>
      </c>
      <c r="D20" s="22" t="s">
        <v>30</v>
      </c>
      <c r="E20" s="25">
        <v>228.28089499999999</v>
      </c>
      <c r="F20" s="23" t="s">
        <v>22</v>
      </c>
    </row>
    <row r="21" spans="2:12" x14ac:dyDescent="0.3">
      <c r="B21" s="21">
        <v>2</v>
      </c>
      <c r="C21" s="22" t="s">
        <v>37</v>
      </c>
      <c r="D21" s="22" t="s">
        <v>31</v>
      </c>
      <c r="E21" s="25">
        <v>96744.346619999997</v>
      </c>
      <c r="F21" s="23" t="s">
        <v>22</v>
      </c>
    </row>
    <row r="22" spans="2:12" x14ac:dyDescent="0.3">
      <c r="B22" s="21">
        <v>2</v>
      </c>
      <c r="C22" s="22" t="s">
        <v>37</v>
      </c>
      <c r="D22" s="22" t="s">
        <v>32</v>
      </c>
      <c r="E22" s="25">
        <v>427.27568000000002</v>
      </c>
      <c r="F22" s="23" t="s">
        <v>22</v>
      </c>
    </row>
    <row r="23" spans="2:12" x14ac:dyDescent="0.3">
      <c r="B23" s="21">
        <v>2</v>
      </c>
      <c r="C23" s="22" t="s">
        <v>37</v>
      </c>
      <c r="D23" s="22" t="s">
        <v>33</v>
      </c>
      <c r="E23" s="25">
        <v>237.83841000000001</v>
      </c>
      <c r="F23" s="23" t="s">
        <v>22</v>
      </c>
    </row>
    <row r="24" spans="2:12" x14ac:dyDescent="0.3">
      <c r="B24" s="21">
        <v>2</v>
      </c>
      <c r="C24" s="22" t="s">
        <v>37</v>
      </c>
      <c r="D24" s="22" t="s">
        <v>34</v>
      </c>
      <c r="E24" s="25">
        <v>237.54508000000001</v>
      </c>
      <c r="F24" s="23" t="s">
        <v>22</v>
      </c>
    </row>
    <row r="25" spans="2:12" x14ac:dyDescent="0.3">
      <c r="B25" s="21">
        <v>2</v>
      </c>
      <c r="C25" s="22" t="s">
        <v>37</v>
      </c>
      <c r="D25" s="22" t="s">
        <v>35</v>
      </c>
      <c r="E25" s="25">
        <v>235.65606</v>
      </c>
      <c r="F25" s="23" t="s">
        <v>22</v>
      </c>
    </row>
    <row r="26" spans="2:12" ht="15" thickBot="1" x14ac:dyDescent="0.35">
      <c r="B26" s="6">
        <v>2</v>
      </c>
      <c r="C26" s="7" t="s">
        <v>37</v>
      </c>
      <c r="D26" s="7" t="s">
        <v>36</v>
      </c>
      <c r="E26" s="7">
        <v>1497027712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27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37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46</v>
      </c>
      <c r="C35" s="18"/>
      <c r="D35" s="18"/>
    </row>
    <row r="36" spans="2:11" x14ac:dyDescent="0.3">
      <c r="B36" t="s">
        <v>1</v>
      </c>
      <c r="C36" t="s">
        <v>6</v>
      </c>
      <c r="D36" t="s">
        <v>40</v>
      </c>
      <c r="E36" t="s">
        <v>9</v>
      </c>
      <c r="F36" t="s">
        <v>11</v>
      </c>
      <c r="G36" t="s">
        <v>41</v>
      </c>
      <c r="H36" t="s">
        <v>42</v>
      </c>
      <c r="I36" t="s">
        <v>43</v>
      </c>
      <c r="J36" t="s">
        <v>44</v>
      </c>
      <c r="K36" t="s">
        <v>45</v>
      </c>
    </row>
    <row r="37" spans="2:11" x14ac:dyDescent="0.3">
      <c r="B37" t="s">
        <v>39</v>
      </c>
      <c r="C37">
        <v>101929500</v>
      </c>
      <c r="D37" t="s">
        <v>27</v>
      </c>
      <c r="E37" t="s">
        <v>35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39</v>
      </c>
      <c r="C38">
        <v>101929500</v>
      </c>
      <c r="D38" t="s">
        <v>27</v>
      </c>
      <c r="E38" t="s">
        <v>35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Blad7"/>
  <dimension ref="B2:R181"/>
  <sheetViews>
    <sheetView zoomScale="85" zoomScaleNormal="85" workbookViewId="0">
      <selection activeCell="B1" sqref="B1"/>
    </sheetView>
  </sheetViews>
  <sheetFormatPr defaultRowHeight="14.4" x14ac:dyDescent="0.3"/>
  <cols>
    <col min="2" max="2" width="19.21875" customWidth="1"/>
    <col min="3" max="3" width="18.21875" bestFit="1" customWidth="1"/>
    <col min="4" max="4" width="13" customWidth="1"/>
    <col min="5" max="5" width="16.109375" customWidth="1"/>
    <col min="6" max="6" width="12.44140625" customWidth="1"/>
    <col min="7" max="7" width="14.5546875" customWidth="1"/>
    <col min="8" max="8" width="9.44140625" customWidth="1"/>
    <col min="9" max="9" width="16.88671875" customWidth="1"/>
  </cols>
  <sheetData>
    <row r="2" spans="2:6" x14ac:dyDescent="0.3">
      <c r="B2" s="1" t="s">
        <v>217</v>
      </c>
      <c r="C2" s="2" t="s">
        <v>25</v>
      </c>
    </row>
    <row r="3" spans="2:6" x14ac:dyDescent="0.3">
      <c r="B3" s="1" t="s">
        <v>218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252</v>
      </c>
      <c r="E8" s="15" t="s">
        <v>253</v>
      </c>
      <c r="F8" s="16" t="s">
        <v>22</v>
      </c>
    </row>
    <row r="9" spans="2:6" x14ac:dyDescent="0.3">
      <c r="B9" s="17">
        <v>1</v>
      </c>
      <c r="C9" s="15" t="s">
        <v>19</v>
      </c>
      <c r="D9" s="15" t="s">
        <v>254</v>
      </c>
      <c r="E9" s="15" t="s">
        <v>255</v>
      </c>
      <c r="F9" s="16" t="s">
        <v>22</v>
      </c>
    </row>
    <row r="10" spans="2:6" x14ac:dyDescent="0.3">
      <c r="B10" s="17">
        <v>1</v>
      </c>
      <c r="C10" s="15" t="s">
        <v>19</v>
      </c>
      <c r="D10" s="15" t="s">
        <v>44</v>
      </c>
      <c r="E10" s="15">
        <v>1522051435925</v>
      </c>
      <c r="F10" s="16" t="s">
        <v>22</v>
      </c>
    </row>
    <row r="11" spans="2:6" x14ac:dyDescent="0.3">
      <c r="B11" s="21">
        <v>1</v>
      </c>
      <c r="C11" s="22" t="s">
        <v>19</v>
      </c>
      <c r="D11" s="22" t="s">
        <v>256</v>
      </c>
      <c r="E11" s="22">
        <v>16</v>
      </c>
      <c r="F11" s="23" t="s">
        <v>21</v>
      </c>
    </row>
    <row r="12" spans="2:6" x14ac:dyDescent="0.3">
      <c r="B12" s="21">
        <v>2</v>
      </c>
      <c r="C12" s="22" t="s">
        <v>256</v>
      </c>
      <c r="D12" s="22" t="s">
        <v>257</v>
      </c>
      <c r="E12" s="22" t="s">
        <v>258</v>
      </c>
      <c r="F12" s="23" t="s">
        <v>22</v>
      </c>
    </row>
    <row r="13" spans="2:6" x14ac:dyDescent="0.3">
      <c r="B13" s="21">
        <v>2</v>
      </c>
      <c r="C13" s="22" t="s">
        <v>256</v>
      </c>
      <c r="D13" s="22" t="s">
        <v>259</v>
      </c>
      <c r="E13" s="22" t="b">
        <v>1</v>
      </c>
      <c r="F13" s="23" t="s">
        <v>22</v>
      </c>
    </row>
    <row r="14" spans="2:6" x14ac:dyDescent="0.3">
      <c r="B14" s="21">
        <v>2</v>
      </c>
      <c r="C14" s="22" t="s">
        <v>256</v>
      </c>
      <c r="D14" s="22" t="s">
        <v>260</v>
      </c>
      <c r="E14" s="22" t="s">
        <v>261</v>
      </c>
      <c r="F14" s="23" t="s">
        <v>22</v>
      </c>
    </row>
    <row r="15" spans="2:6" x14ac:dyDescent="0.3">
      <c r="B15" s="21">
        <v>2</v>
      </c>
      <c r="C15" s="22" t="s">
        <v>256</v>
      </c>
      <c r="D15" s="22" t="s">
        <v>262</v>
      </c>
      <c r="E15" s="22">
        <v>3.5E-4</v>
      </c>
      <c r="F15" s="23" t="s">
        <v>22</v>
      </c>
    </row>
    <row r="16" spans="2:6" x14ac:dyDescent="0.3">
      <c r="B16" s="21">
        <v>2</v>
      </c>
      <c r="C16" s="22" t="s">
        <v>256</v>
      </c>
      <c r="D16" s="22" t="s">
        <v>34</v>
      </c>
      <c r="E16" s="22">
        <v>3.4844999999999999E-4</v>
      </c>
      <c r="F16" s="23" t="s">
        <v>22</v>
      </c>
    </row>
    <row r="17" spans="2:18" x14ac:dyDescent="0.3">
      <c r="B17" s="21">
        <v>2</v>
      </c>
      <c r="C17" s="22" t="s">
        <v>256</v>
      </c>
      <c r="D17" s="22" t="s">
        <v>35</v>
      </c>
      <c r="E17" s="22">
        <v>3.5110000000000002E-4</v>
      </c>
      <c r="F17" s="23" t="s">
        <v>22</v>
      </c>
    </row>
    <row r="18" spans="2:18" x14ac:dyDescent="0.3">
      <c r="B18" s="21">
        <v>2</v>
      </c>
      <c r="C18" s="22" t="s">
        <v>256</v>
      </c>
      <c r="D18" s="22" t="s">
        <v>263</v>
      </c>
      <c r="E18" s="22">
        <v>-9.9799999999999993E-6</v>
      </c>
      <c r="F18" s="23" t="s">
        <v>22</v>
      </c>
    </row>
    <row r="19" spans="2:18" x14ac:dyDescent="0.3">
      <c r="B19" s="21">
        <v>2</v>
      </c>
      <c r="C19" s="22" t="s">
        <v>256</v>
      </c>
      <c r="D19" s="22" t="s">
        <v>264</v>
      </c>
      <c r="E19" s="22" t="s">
        <v>55</v>
      </c>
      <c r="F19" s="23" t="s">
        <v>22</v>
      </c>
    </row>
    <row r="20" spans="2:18" x14ac:dyDescent="0.3">
      <c r="B20" s="21">
        <v>2</v>
      </c>
      <c r="C20" s="22" t="s">
        <v>256</v>
      </c>
      <c r="D20" s="22" t="s">
        <v>265</v>
      </c>
      <c r="E20" s="22">
        <v>0</v>
      </c>
      <c r="F20" s="23" t="s">
        <v>22</v>
      </c>
    </row>
    <row r="21" spans="2:18" x14ac:dyDescent="0.3">
      <c r="B21" s="21">
        <v>2</v>
      </c>
      <c r="C21" s="22" t="s">
        <v>256</v>
      </c>
      <c r="D21" s="22" t="s">
        <v>266</v>
      </c>
      <c r="E21" s="22">
        <v>1E-3</v>
      </c>
      <c r="F21" s="23" t="s">
        <v>22</v>
      </c>
    </row>
    <row r="22" spans="2:18" x14ac:dyDescent="0.3">
      <c r="B22" s="21">
        <v>2</v>
      </c>
      <c r="C22" s="22" t="s">
        <v>256</v>
      </c>
      <c r="D22" s="22" t="s">
        <v>267</v>
      </c>
      <c r="E22" s="22">
        <v>26.158759150000002</v>
      </c>
      <c r="F22" s="23" t="s">
        <v>22</v>
      </c>
    </row>
    <row r="23" spans="2:18" x14ac:dyDescent="0.3">
      <c r="B23" s="21">
        <v>2</v>
      </c>
      <c r="C23" s="22" t="s">
        <v>256</v>
      </c>
      <c r="D23" s="22" t="s">
        <v>28</v>
      </c>
      <c r="E23" s="22">
        <v>3.5997999999999998E-4</v>
      </c>
      <c r="F23" s="23" t="s">
        <v>22</v>
      </c>
    </row>
    <row r="24" spans="2:18" x14ac:dyDescent="0.3">
      <c r="B24" s="21">
        <v>2</v>
      </c>
      <c r="C24" s="22" t="s">
        <v>256</v>
      </c>
      <c r="D24" s="22" t="s">
        <v>268</v>
      </c>
      <c r="E24" s="22">
        <v>1522051434000</v>
      </c>
      <c r="F24" s="23" t="s">
        <v>22</v>
      </c>
    </row>
    <row r="25" spans="2:18" x14ac:dyDescent="0.3">
      <c r="B25" s="21">
        <v>2</v>
      </c>
      <c r="C25" s="22" t="s">
        <v>256</v>
      </c>
      <c r="D25" s="22" t="s">
        <v>31</v>
      </c>
      <c r="E25" s="22">
        <v>75962.600200000001</v>
      </c>
      <c r="F25" s="23" t="s">
        <v>22</v>
      </c>
    </row>
    <row r="26" spans="2:18" x14ac:dyDescent="0.3">
      <c r="B26" s="21">
        <v>2</v>
      </c>
      <c r="C26" s="22" t="s">
        <v>256</v>
      </c>
      <c r="D26" s="22" t="s">
        <v>29</v>
      </c>
      <c r="E26" s="22">
        <v>3.3103000000000001E-4</v>
      </c>
      <c r="F26" s="23" t="s">
        <v>22</v>
      </c>
    </row>
    <row r="27" spans="2:18" ht="15" thickBot="1" x14ac:dyDescent="0.35">
      <c r="B27" s="6">
        <v>2</v>
      </c>
      <c r="C27" s="7" t="s">
        <v>256</v>
      </c>
      <c r="D27" s="7" t="s">
        <v>269</v>
      </c>
      <c r="E27" s="7">
        <v>-2.7699999999999999E-2</v>
      </c>
      <c r="F27" s="8" t="s">
        <v>22</v>
      </c>
    </row>
    <row r="31" spans="2:18" ht="15" thickBot="1" x14ac:dyDescent="0.35">
      <c r="B31" s="18" t="s">
        <v>24</v>
      </c>
      <c r="C31" s="18"/>
      <c r="D31" s="18"/>
    </row>
    <row r="32" spans="2:18" x14ac:dyDescent="0.3">
      <c r="B32" s="27" t="s">
        <v>1</v>
      </c>
      <c r="C32" s="28" t="s">
        <v>257</v>
      </c>
      <c r="D32" s="28" t="s">
        <v>259</v>
      </c>
      <c r="E32" s="28" t="s">
        <v>260</v>
      </c>
      <c r="F32" s="28" t="s">
        <v>262</v>
      </c>
      <c r="G32" s="28" t="s">
        <v>34</v>
      </c>
      <c r="H32" s="28" t="s">
        <v>35</v>
      </c>
      <c r="I32" s="28" t="s">
        <v>263</v>
      </c>
      <c r="J32" s="28" t="s">
        <v>264</v>
      </c>
      <c r="K32" s="28" t="s">
        <v>265</v>
      </c>
      <c r="L32" s="28" t="s">
        <v>266</v>
      </c>
      <c r="M32" s="28" t="s">
        <v>267</v>
      </c>
      <c r="N32" s="28" t="s">
        <v>28</v>
      </c>
      <c r="O32" s="28" t="s">
        <v>268</v>
      </c>
      <c r="P32" s="28" t="s">
        <v>31</v>
      </c>
      <c r="Q32" s="28" t="s">
        <v>29</v>
      </c>
      <c r="R32" s="29" t="s">
        <v>269</v>
      </c>
    </row>
    <row r="33" spans="2:18" ht="15" thickBot="1" x14ac:dyDescent="0.35">
      <c r="B33" s="6" t="s">
        <v>256</v>
      </c>
      <c r="C33" s="7" t="s">
        <v>258</v>
      </c>
      <c r="D33" s="44" t="b">
        <v>1</v>
      </c>
      <c r="E33" s="44" t="s">
        <v>261</v>
      </c>
      <c r="F33" s="7">
        <v>3.5E-4</v>
      </c>
      <c r="G33" s="7">
        <v>3.4844999999999999E-4</v>
      </c>
      <c r="H33" s="7">
        <v>3.5110000000000002E-4</v>
      </c>
      <c r="I33" s="7">
        <v>-9.9799999999999993E-6</v>
      </c>
      <c r="J33" s="7" t="s">
        <v>55</v>
      </c>
      <c r="K33" s="7">
        <v>0</v>
      </c>
      <c r="L33" s="7">
        <v>1E-3</v>
      </c>
      <c r="M33" s="7">
        <v>26.158759150000002</v>
      </c>
      <c r="N33" s="7">
        <v>3.5997999999999998E-4</v>
      </c>
      <c r="O33" s="7">
        <v>1522051434000</v>
      </c>
      <c r="P33" s="7">
        <v>75962.600200000001</v>
      </c>
      <c r="Q33" s="7">
        <v>3.3103000000000001E-4</v>
      </c>
      <c r="R33" s="8">
        <v>-2.7699999999999999E-2</v>
      </c>
    </row>
    <row r="37" spans="2:18" x14ac:dyDescent="0.3">
      <c r="B37" s="18" t="s">
        <v>270</v>
      </c>
    </row>
    <row r="38" spans="2:18" x14ac:dyDescent="0.3">
      <c r="B38" t="s">
        <v>1</v>
      </c>
      <c r="C38" t="s">
        <v>6</v>
      </c>
      <c r="D38" t="s">
        <v>7</v>
      </c>
      <c r="E38" t="s">
        <v>257</v>
      </c>
      <c r="F38" t="s">
        <v>271</v>
      </c>
      <c r="G38" t="s">
        <v>272</v>
      </c>
      <c r="H38" t="s">
        <v>13</v>
      </c>
      <c r="I38" t="s">
        <v>273</v>
      </c>
    </row>
    <row r="39" spans="2:18" x14ac:dyDescent="0.3">
      <c r="B39" t="s">
        <v>256</v>
      </c>
      <c r="C39" t="s">
        <v>274</v>
      </c>
      <c r="D39">
        <v>1</v>
      </c>
      <c r="E39" t="s">
        <v>258</v>
      </c>
      <c r="F39">
        <v>12</v>
      </c>
      <c r="G39">
        <v>0</v>
      </c>
      <c r="H39">
        <v>12</v>
      </c>
      <c r="I39">
        <v>0</v>
      </c>
    </row>
    <row r="40" spans="2:18" x14ac:dyDescent="0.3">
      <c r="B40" t="s">
        <v>256</v>
      </c>
      <c r="C40" t="s">
        <v>274</v>
      </c>
      <c r="D40">
        <v>2</v>
      </c>
      <c r="E40" t="s">
        <v>292</v>
      </c>
      <c r="F40">
        <v>0</v>
      </c>
      <c r="G40">
        <v>0</v>
      </c>
      <c r="H40">
        <v>0</v>
      </c>
      <c r="I40">
        <v>0</v>
      </c>
    </row>
    <row r="41" spans="2:18" x14ac:dyDescent="0.3">
      <c r="B41" t="s">
        <v>256</v>
      </c>
      <c r="C41" t="s">
        <v>274</v>
      </c>
      <c r="D41">
        <v>3</v>
      </c>
      <c r="E41" t="s">
        <v>55</v>
      </c>
      <c r="F41">
        <v>1.1460000000000001E-3</v>
      </c>
      <c r="G41">
        <v>0</v>
      </c>
      <c r="H41">
        <v>1.1460000000000001E-3</v>
      </c>
      <c r="I41">
        <v>0</v>
      </c>
    </row>
    <row r="42" spans="2:18" x14ac:dyDescent="0.3">
      <c r="B42" t="s">
        <v>256</v>
      </c>
      <c r="C42" t="s">
        <v>274</v>
      </c>
      <c r="D42">
        <v>4</v>
      </c>
      <c r="E42" t="s">
        <v>82</v>
      </c>
      <c r="F42">
        <v>6.3845400000000002E-3</v>
      </c>
      <c r="G42">
        <v>0</v>
      </c>
      <c r="H42">
        <v>6.3845400000000002E-3</v>
      </c>
      <c r="I42">
        <v>0</v>
      </c>
    </row>
    <row r="43" spans="2:18" x14ac:dyDescent="0.3">
      <c r="B43" t="s">
        <v>256</v>
      </c>
      <c r="C43" t="s">
        <v>274</v>
      </c>
      <c r="D43">
        <v>5</v>
      </c>
      <c r="E43" t="s">
        <v>293</v>
      </c>
      <c r="F43">
        <v>6.8301999999999998E-3</v>
      </c>
      <c r="G43">
        <v>0</v>
      </c>
      <c r="H43">
        <v>6.8301999999999998E-3</v>
      </c>
      <c r="I43">
        <v>0</v>
      </c>
    </row>
    <row r="44" spans="2:18" x14ac:dyDescent="0.3">
      <c r="B44" t="s">
        <v>256</v>
      </c>
      <c r="C44" t="s">
        <v>274</v>
      </c>
      <c r="D44">
        <v>6</v>
      </c>
      <c r="E44" t="s">
        <v>294</v>
      </c>
      <c r="F44">
        <v>2.894511E-2</v>
      </c>
      <c r="G44">
        <v>0</v>
      </c>
      <c r="H44">
        <v>2.894511E-2</v>
      </c>
      <c r="I44">
        <v>0</v>
      </c>
    </row>
    <row r="45" spans="2:18" x14ac:dyDescent="0.3">
      <c r="B45" t="s">
        <v>256</v>
      </c>
      <c r="C45" t="s">
        <v>274</v>
      </c>
      <c r="D45">
        <v>7</v>
      </c>
      <c r="E45" t="s">
        <v>295</v>
      </c>
      <c r="F45">
        <v>2.947959E-2</v>
      </c>
      <c r="G45">
        <v>0</v>
      </c>
      <c r="H45">
        <v>2.947959E-2</v>
      </c>
      <c r="I45">
        <v>0</v>
      </c>
    </row>
    <row r="46" spans="2:18" x14ac:dyDescent="0.3">
      <c r="B46" t="s">
        <v>256</v>
      </c>
      <c r="C46" t="s">
        <v>274</v>
      </c>
      <c r="D46">
        <v>8</v>
      </c>
      <c r="E46" t="s">
        <v>296</v>
      </c>
      <c r="F46">
        <v>6.1939220000000003E-2</v>
      </c>
      <c r="G46">
        <v>0</v>
      </c>
      <c r="H46">
        <v>6.1939220000000003E-2</v>
      </c>
      <c r="I46">
        <v>0</v>
      </c>
    </row>
    <row r="47" spans="2:18" x14ac:dyDescent="0.3">
      <c r="B47" t="s">
        <v>256</v>
      </c>
      <c r="C47" t="s">
        <v>274</v>
      </c>
      <c r="D47">
        <v>9</v>
      </c>
      <c r="E47" t="s">
        <v>297</v>
      </c>
      <c r="F47">
        <v>6.6810839999999996E-2</v>
      </c>
      <c r="G47">
        <v>0</v>
      </c>
      <c r="H47">
        <v>6.6810839999999996E-2</v>
      </c>
      <c r="I47">
        <v>0</v>
      </c>
    </row>
    <row r="48" spans="2:18" x14ac:dyDescent="0.3">
      <c r="B48" t="s">
        <v>256</v>
      </c>
      <c r="C48" t="s">
        <v>274</v>
      </c>
      <c r="D48">
        <v>10</v>
      </c>
      <c r="E48" t="s">
        <v>298</v>
      </c>
      <c r="F48">
        <v>0.16291575999999999</v>
      </c>
      <c r="G48">
        <v>0</v>
      </c>
      <c r="H48">
        <v>0.16291575999999999</v>
      </c>
      <c r="I48">
        <v>0</v>
      </c>
    </row>
    <row r="49" spans="2:9" x14ac:dyDescent="0.3">
      <c r="B49" t="s">
        <v>256</v>
      </c>
      <c r="C49" t="s">
        <v>274</v>
      </c>
      <c r="D49">
        <v>11</v>
      </c>
      <c r="E49" t="s">
        <v>299</v>
      </c>
      <c r="F49">
        <v>0.21340692</v>
      </c>
      <c r="G49">
        <v>0</v>
      </c>
      <c r="H49">
        <v>0.21340692</v>
      </c>
      <c r="I49">
        <v>0</v>
      </c>
    </row>
    <row r="50" spans="2:9" x14ac:dyDescent="0.3">
      <c r="B50" t="s">
        <v>256</v>
      </c>
      <c r="C50" t="s">
        <v>274</v>
      </c>
      <c r="D50">
        <v>12</v>
      </c>
      <c r="E50" t="s">
        <v>300</v>
      </c>
      <c r="F50">
        <v>0.33608539999999998</v>
      </c>
      <c r="G50">
        <v>0</v>
      </c>
      <c r="H50">
        <v>0.33608539999999998</v>
      </c>
      <c r="I50">
        <v>0</v>
      </c>
    </row>
    <row r="51" spans="2:9" x14ac:dyDescent="0.3">
      <c r="B51" t="s">
        <v>256</v>
      </c>
      <c r="C51" t="s">
        <v>274</v>
      </c>
      <c r="D51">
        <v>13</v>
      </c>
      <c r="E51" t="s">
        <v>301</v>
      </c>
      <c r="F51">
        <v>0.58060619999999996</v>
      </c>
      <c r="G51">
        <v>0</v>
      </c>
      <c r="H51">
        <v>0.58060619999999996</v>
      </c>
      <c r="I51">
        <v>0</v>
      </c>
    </row>
    <row r="52" spans="2:9" x14ac:dyDescent="0.3">
      <c r="B52" t="s">
        <v>256</v>
      </c>
      <c r="C52" t="s">
        <v>274</v>
      </c>
      <c r="D52">
        <v>14</v>
      </c>
      <c r="E52" t="s">
        <v>302</v>
      </c>
      <c r="F52">
        <v>0.84133106999999996</v>
      </c>
      <c r="G52">
        <v>0</v>
      </c>
      <c r="H52">
        <v>0.84133106999999996</v>
      </c>
      <c r="I52">
        <v>0</v>
      </c>
    </row>
    <row r="53" spans="2:9" x14ac:dyDescent="0.3">
      <c r="B53" t="s">
        <v>256</v>
      </c>
      <c r="C53" t="s">
        <v>274</v>
      </c>
      <c r="D53">
        <v>15</v>
      </c>
      <c r="E53" t="s">
        <v>303</v>
      </c>
      <c r="F53">
        <v>0.91936452000000002</v>
      </c>
      <c r="G53">
        <v>0</v>
      </c>
      <c r="H53">
        <v>0.91936452000000002</v>
      </c>
      <c r="I53">
        <v>0</v>
      </c>
    </row>
    <row r="54" spans="2:9" x14ac:dyDescent="0.3">
      <c r="B54" t="s">
        <v>256</v>
      </c>
      <c r="C54" t="s">
        <v>274</v>
      </c>
      <c r="D54">
        <v>16</v>
      </c>
      <c r="E54" t="s">
        <v>304</v>
      </c>
      <c r="F54">
        <v>2.5524757199999999</v>
      </c>
      <c r="G54">
        <v>0</v>
      </c>
      <c r="H54">
        <v>2.5524757199999999</v>
      </c>
      <c r="I54">
        <v>0</v>
      </c>
    </row>
    <row r="55" spans="2:9" x14ac:dyDescent="0.3">
      <c r="B55" t="s">
        <v>256</v>
      </c>
      <c r="C55" t="s">
        <v>274</v>
      </c>
      <c r="D55">
        <v>17</v>
      </c>
      <c r="E55" t="s">
        <v>305</v>
      </c>
      <c r="F55">
        <v>2.5909620900000001</v>
      </c>
      <c r="G55">
        <v>0</v>
      </c>
      <c r="H55">
        <v>2.5909620900000001</v>
      </c>
      <c r="I55">
        <v>0</v>
      </c>
    </row>
    <row r="56" spans="2:9" x14ac:dyDescent="0.3">
      <c r="B56" t="s">
        <v>256</v>
      </c>
      <c r="C56" t="s">
        <v>274</v>
      </c>
      <c r="D56">
        <v>18</v>
      </c>
      <c r="E56" t="s">
        <v>306</v>
      </c>
      <c r="F56">
        <v>3.6137433699999999</v>
      </c>
      <c r="G56">
        <v>0</v>
      </c>
      <c r="H56">
        <v>3.6137433699999999</v>
      </c>
      <c r="I56">
        <v>0</v>
      </c>
    </row>
    <row r="57" spans="2:9" x14ac:dyDescent="0.3">
      <c r="B57" t="s">
        <v>256</v>
      </c>
      <c r="C57" t="s">
        <v>274</v>
      </c>
      <c r="D57">
        <v>19</v>
      </c>
      <c r="E57" t="s">
        <v>307</v>
      </c>
      <c r="F57">
        <v>5.5693634799999998</v>
      </c>
      <c r="G57">
        <v>0</v>
      </c>
      <c r="H57">
        <v>5.5693634799999998</v>
      </c>
      <c r="I57">
        <v>0</v>
      </c>
    </row>
    <row r="58" spans="2:9" x14ac:dyDescent="0.3">
      <c r="B58" t="s">
        <v>256</v>
      </c>
      <c r="C58" t="s">
        <v>274</v>
      </c>
      <c r="D58">
        <v>20</v>
      </c>
      <c r="E58" t="s">
        <v>308</v>
      </c>
      <c r="F58">
        <v>14.26433381</v>
      </c>
      <c r="G58">
        <v>0</v>
      </c>
      <c r="H58">
        <v>14.26433381</v>
      </c>
      <c r="I58">
        <v>0</v>
      </c>
    </row>
    <row r="59" spans="2:9" x14ac:dyDescent="0.3">
      <c r="B59" t="s">
        <v>256</v>
      </c>
      <c r="C59" t="s">
        <v>274</v>
      </c>
      <c r="D59">
        <v>1</v>
      </c>
      <c r="E59" t="s">
        <v>309</v>
      </c>
      <c r="F59" s="60">
        <v>1.4914999999999999E-4</v>
      </c>
      <c r="G59">
        <v>0</v>
      </c>
      <c r="H59">
        <v>1.4914999999999999E-4</v>
      </c>
      <c r="I59">
        <v>0</v>
      </c>
    </row>
    <row r="60" spans="2:9" x14ac:dyDescent="0.3">
      <c r="B60" t="s">
        <v>256</v>
      </c>
      <c r="C60" t="s">
        <v>274</v>
      </c>
      <c r="D60">
        <v>2</v>
      </c>
      <c r="E60" t="s">
        <v>310</v>
      </c>
      <c r="F60">
        <v>3.4855900000000002E-3</v>
      </c>
      <c r="G60">
        <v>0</v>
      </c>
      <c r="H60">
        <v>3.4855900000000002E-3</v>
      </c>
      <c r="I60">
        <v>0</v>
      </c>
    </row>
    <row r="61" spans="2:9" x14ac:dyDescent="0.3">
      <c r="B61" t="s">
        <v>256</v>
      </c>
      <c r="C61" t="s">
        <v>274</v>
      </c>
      <c r="D61">
        <v>3</v>
      </c>
      <c r="E61" t="s">
        <v>311</v>
      </c>
      <c r="F61">
        <v>7.1581600000000002E-3</v>
      </c>
      <c r="G61">
        <v>0</v>
      </c>
      <c r="H61">
        <v>7.1581600000000002E-3</v>
      </c>
      <c r="I61">
        <v>0</v>
      </c>
    </row>
    <row r="62" spans="2:9" x14ac:dyDescent="0.3">
      <c r="B62" t="s">
        <v>256</v>
      </c>
      <c r="C62" t="s">
        <v>274</v>
      </c>
      <c r="D62">
        <v>4</v>
      </c>
      <c r="E62" t="s">
        <v>312</v>
      </c>
      <c r="F62">
        <v>2.801271E-2</v>
      </c>
      <c r="G62">
        <v>0</v>
      </c>
      <c r="H62">
        <v>2.801271E-2</v>
      </c>
      <c r="I62">
        <v>0</v>
      </c>
    </row>
    <row r="63" spans="2:9" x14ac:dyDescent="0.3">
      <c r="B63" t="s">
        <v>256</v>
      </c>
      <c r="C63" t="s">
        <v>274</v>
      </c>
      <c r="D63">
        <v>5</v>
      </c>
      <c r="E63" t="s">
        <v>313</v>
      </c>
      <c r="F63">
        <v>4.8547930000000003E-2</v>
      </c>
      <c r="G63">
        <v>0</v>
      </c>
      <c r="H63">
        <v>4.8547930000000003E-2</v>
      </c>
      <c r="I63">
        <v>0</v>
      </c>
    </row>
    <row r="64" spans="2:9" x14ac:dyDescent="0.3">
      <c r="B64" t="s">
        <v>256</v>
      </c>
      <c r="C64" t="s">
        <v>274</v>
      </c>
      <c r="D64">
        <v>6</v>
      </c>
      <c r="E64" t="s">
        <v>314</v>
      </c>
      <c r="F64">
        <v>9.3251210000000001E-2</v>
      </c>
      <c r="G64">
        <v>0</v>
      </c>
      <c r="H64">
        <v>9.3251210000000001E-2</v>
      </c>
      <c r="I64">
        <v>0</v>
      </c>
    </row>
    <row r="65" spans="2:9" x14ac:dyDescent="0.3">
      <c r="B65" t="s">
        <v>256</v>
      </c>
      <c r="C65" t="s">
        <v>274</v>
      </c>
      <c r="D65">
        <v>7</v>
      </c>
      <c r="E65" t="s">
        <v>315</v>
      </c>
      <c r="F65">
        <v>0.11741475</v>
      </c>
      <c r="G65">
        <v>0</v>
      </c>
      <c r="H65">
        <v>0.11741475</v>
      </c>
      <c r="I65">
        <v>0</v>
      </c>
    </row>
    <row r="66" spans="2:9" x14ac:dyDescent="0.3">
      <c r="B66" t="s">
        <v>256</v>
      </c>
      <c r="C66" t="s">
        <v>274</v>
      </c>
      <c r="D66">
        <v>8</v>
      </c>
      <c r="E66" t="s">
        <v>316</v>
      </c>
      <c r="F66">
        <v>0.20650447</v>
      </c>
      <c r="G66">
        <v>0</v>
      </c>
      <c r="H66">
        <v>0.20650447</v>
      </c>
      <c r="I66">
        <v>0</v>
      </c>
    </row>
    <row r="67" spans="2:9" x14ac:dyDescent="0.3">
      <c r="B67" t="s">
        <v>256</v>
      </c>
      <c r="C67" t="s">
        <v>274</v>
      </c>
      <c r="D67">
        <v>9</v>
      </c>
      <c r="E67" t="s">
        <v>317</v>
      </c>
      <c r="F67">
        <v>0.21335055999999999</v>
      </c>
      <c r="G67">
        <v>0</v>
      </c>
      <c r="H67">
        <v>0.21335055999999999</v>
      </c>
      <c r="I67">
        <v>0</v>
      </c>
    </row>
    <row r="68" spans="2:9" x14ac:dyDescent="0.3">
      <c r="B68" t="s">
        <v>256</v>
      </c>
      <c r="C68" t="s">
        <v>274</v>
      </c>
      <c r="D68">
        <v>10</v>
      </c>
      <c r="E68" t="s">
        <v>318</v>
      </c>
      <c r="F68">
        <v>0.24033425</v>
      </c>
      <c r="G68">
        <v>0</v>
      </c>
      <c r="H68">
        <v>0.24033425</v>
      </c>
      <c r="I68">
        <v>0</v>
      </c>
    </row>
    <row r="69" spans="2:9" x14ac:dyDescent="0.3">
      <c r="B69" t="s">
        <v>256</v>
      </c>
      <c r="C69" t="s">
        <v>274</v>
      </c>
      <c r="D69">
        <v>11</v>
      </c>
      <c r="E69" t="s">
        <v>319</v>
      </c>
      <c r="F69">
        <v>0.34700976</v>
      </c>
      <c r="G69">
        <v>0</v>
      </c>
      <c r="H69">
        <v>0.34700976</v>
      </c>
      <c r="I69">
        <v>0</v>
      </c>
    </row>
    <row r="70" spans="2:9" x14ac:dyDescent="0.3">
      <c r="B70" t="s">
        <v>256</v>
      </c>
      <c r="C70" t="s">
        <v>274</v>
      </c>
      <c r="D70">
        <v>12</v>
      </c>
      <c r="E70" t="s">
        <v>320</v>
      </c>
      <c r="F70">
        <v>0.42699039999999999</v>
      </c>
      <c r="G70">
        <v>0</v>
      </c>
      <c r="H70">
        <v>0.42699039999999999</v>
      </c>
      <c r="I70">
        <v>0</v>
      </c>
    </row>
    <row r="71" spans="2:9" x14ac:dyDescent="0.3">
      <c r="B71" t="s">
        <v>256</v>
      </c>
      <c r="C71" t="s">
        <v>274</v>
      </c>
      <c r="D71">
        <v>13</v>
      </c>
      <c r="E71" t="s">
        <v>321</v>
      </c>
      <c r="F71">
        <v>0.45850104000000003</v>
      </c>
      <c r="G71">
        <v>0</v>
      </c>
      <c r="H71">
        <v>0.45850104000000003</v>
      </c>
      <c r="I71">
        <v>0</v>
      </c>
    </row>
    <row r="72" spans="2:9" x14ac:dyDescent="0.3">
      <c r="B72" t="s">
        <v>256</v>
      </c>
      <c r="C72" t="s">
        <v>274</v>
      </c>
      <c r="D72">
        <v>14</v>
      </c>
      <c r="E72" t="s">
        <v>322</v>
      </c>
      <c r="F72">
        <v>0.66310935000000004</v>
      </c>
      <c r="G72">
        <v>0</v>
      </c>
      <c r="H72">
        <v>0.66310935000000004</v>
      </c>
      <c r="I72">
        <v>0</v>
      </c>
    </row>
    <row r="73" spans="2:9" x14ac:dyDescent="0.3">
      <c r="B73" t="s">
        <v>256</v>
      </c>
      <c r="C73" t="s">
        <v>274</v>
      </c>
      <c r="D73">
        <v>15</v>
      </c>
      <c r="E73" t="s">
        <v>323</v>
      </c>
      <c r="F73">
        <v>0.73992802999999996</v>
      </c>
      <c r="G73">
        <v>0</v>
      </c>
      <c r="H73">
        <v>0.73992802999999996</v>
      </c>
      <c r="I73">
        <v>0</v>
      </c>
    </row>
    <row r="74" spans="2:9" x14ac:dyDescent="0.3">
      <c r="B74" t="s">
        <v>256</v>
      </c>
      <c r="C74" t="s">
        <v>274</v>
      </c>
      <c r="D74">
        <v>16</v>
      </c>
      <c r="E74" t="s">
        <v>324</v>
      </c>
      <c r="F74">
        <v>1.18053038</v>
      </c>
      <c r="G74">
        <v>0</v>
      </c>
      <c r="H74">
        <v>1.18053038</v>
      </c>
      <c r="I74">
        <v>0</v>
      </c>
    </row>
    <row r="75" spans="2:9" x14ac:dyDescent="0.3">
      <c r="B75" t="s">
        <v>256</v>
      </c>
      <c r="C75" t="s">
        <v>274</v>
      </c>
      <c r="D75">
        <v>17</v>
      </c>
      <c r="E75" t="s">
        <v>325</v>
      </c>
      <c r="F75">
        <v>1.9555613999999999</v>
      </c>
      <c r="G75">
        <v>0</v>
      </c>
      <c r="H75">
        <v>1.9555613999999999</v>
      </c>
      <c r="I75">
        <v>0</v>
      </c>
    </row>
    <row r="76" spans="2:9" x14ac:dyDescent="0.3">
      <c r="B76" t="s">
        <v>256</v>
      </c>
      <c r="C76" t="s">
        <v>274</v>
      </c>
      <c r="D76">
        <v>18</v>
      </c>
      <c r="E76" t="s">
        <v>326</v>
      </c>
      <c r="F76">
        <v>2.1991941800000001</v>
      </c>
      <c r="G76">
        <v>0</v>
      </c>
      <c r="H76">
        <v>2.1991941800000001</v>
      </c>
      <c r="I76">
        <v>0</v>
      </c>
    </row>
    <row r="77" spans="2:9" x14ac:dyDescent="0.3">
      <c r="B77" t="s">
        <v>256</v>
      </c>
      <c r="C77" t="s">
        <v>274</v>
      </c>
      <c r="D77">
        <v>19</v>
      </c>
      <c r="E77" t="s">
        <v>327</v>
      </c>
      <c r="F77">
        <v>15.994451229999999</v>
      </c>
      <c r="G77">
        <v>0</v>
      </c>
      <c r="H77">
        <v>15.994451229999999</v>
      </c>
      <c r="I77">
        <v>0</v>
      </c>
    </row>
    <row r="78" spans="2:9" x14ac:dyDescent="0.3">
      <c r="B78" t="s">
        <v>256</v>
      </c>
      <c r="C78" t="s">
        <v>274</v>
      </c>
      <c r="D78">
        <v>20</v>
      </c>
      <c r="E78" t="s">
        <v>281</v>
      </c>
      <c r="F78">
        <v>58.828163879999998</v>
      </c>
      <c r="G78">
        <v>0</v>
      </c>
      <c r="H78">
        <v>58.828163879999998</v>
      </c>
      <c r="I78">
        <v>0</v>
      </c>
    </row>
    <row r="79" spans="2:9" x14ac:dyDescent="0.3">
      <c r="B79" t="s">
        <v>256</v>
      </c>
      <c r="C79" t="s">
        <v>274</v>
      </c>
      <c r="D79">
        <v>1</v>
      </c>
      <c r="E79" t="s">
        <v>328</v>
      </c>
      <c r="F79">
        <v>2.6417799999999998E-3</v>
      </c>
      <c r="G79">
        <v>0</v>
      </c>
      <c r="H79">
        <v>2.6417799999999998E-3</v>
      </c>
      <c r="I79">
        <v>0</v>
      </c>
    </row>
    <row r="80" spans="2:9" x14ac:dyDescent="0.3">
      <c r="B80" t="s">
        <v>256</v>
      </c>
      <c r="C80" t="s">
        <v>274</v>
      </c>
      <c r="D80">
        <v>2</v>
      </c>
      <c r="E80" t="s">
        <v>329</v>
      </c>
      <c r="F80">
        <v>6.3176700000000001E-3</v>
      </c>
      <c r="G80">
        <v>0</v>
      </c>
      <c r="H80">
        <v>6.3176700000000001E-3</v>
      </c>
      <c r="I80">
        <v>0</v>
      </c>
    </row>
    <row r="81" spans="2:9" x14ac:dyDescent="0.3">
      <c r="B81" t="s">
        <v>256</v>
      </c>
      <c r="C81" t="s">
        <v>274</v>
      </c>
      <c r="D81">
        <v>3</v>
      </c>
      <c r="E81" t="s">
        <v>330</v>
      </c>
      <c r="F81">
        <v>7.4010400000000002E-3</v>
      </c>
      <c r="G81">
        <v>0</v>
      </c>
      <c r="H81">
        <v>7.4010400000000002E-3</v>
      </c>
      <c r="I81">
        <v>0</v>
      </c>
    </row>
    <row r="82" spans="2:9" x14ac:dyDescent="0.3">
      <c r="B82" t="s">
        <v>256</v>
      </c>
      <c r="C82" t="s">
        <v>274</v>
      </c>
      <c r="D82">
        <v>4</v>
      </c>
      <c r="E82" t="s">
        <v>331</v>
      </c>
      <c r="F82">
        <v>8.1767100000000002E-3</v>
      </c>
      <c r="G82">
        <v>0</v>
      </c>
      <c r="H82">
        <v>8.1767100000000002E-3</v>
      </c>
      <c r="I82">
        <v>0</v>
      </c>
    </row>
    <row r="83" spans="2:9" x14ac:dyDescent="0.3">
      <c r="B83" t="s">
        <v>256</v>
      </c>
      <c r="C83" t="s">
        <v>274</v>
      </c>
      <c r="D83">
        <v>5</v>
      </c>
      <c r="E83" t="s">
        <v>332</v>
      </c>
      <c r="F83">
        <v>8.4775300000000005E-3</v>
      </c>
      <c r="G83">
        <v>0</v>
      </c>
      <c r="H83">
        <v>8.4775300000000005E-3</v>
      </c>
      <c r="I83">
        <v>0</v>
      </c>
    </row>
    <row r="84" spans="2:9" x14ac:dyDescent="0.3">
      <c r="B84" t="s">
        <v>256</v>
      </c>
      <c r="C84" t="s">
        <v>274</v>
      </c>
      <c r="D84">
        <v>6</v>
      </c>
      <c r="E84" t="s">
        <v>333</v>
      </c>
      <c r="F84">
        <v>2.20663E-2</v>
      </c>
      <c r="G84">
        <v>0</v>
      </c>
      <c r="H84">
        <v>2.20663E-2</v>
      </c>
      <c r="I84">
        <v>0</v>
      </c>
    </row>
    <row r="85" spans="2:9" x14ac:dyDescent="0.3">
      <c r="B85" t="s">
        <v>256</v>
      </c>
      <c r="C85" t="s">
        <v>274</v>
      </c>
      <c r="D85">
        <v>7</v>
      </c>
      <c r="E85" t="s">
        <v>334</v>
      </c>
      <c r="F85">
        <v>2.8526760000000002E-2</v>
      </c>
      <c r="G85">
        <v>0</v>
      </c>
      <c r="H85">
        <v>2.8526760000000002E-2</v>
      </c>
      <c r="I85">
        <v>0</v>
      </c>
    </row>
    <row r="86" spans="2:9" x14ac:dyDescent="0.3">
      <c r="B86" t="s">
        <v>256</v>
      </c>
      <c r="C86" t="s">
        <v>274</v>
      </c>
      <c r="D86">
        <v>8</v>
      </c>
      <c r="E86" t="s">
        <v>335</v>
      </c>
      <c r="F86">
        <v>6.4054639999999996E-2</v>
      </c>
      <c r="G86">
        <v>0</v>
      </c>
      <c r="H86">
        <v>6.4054639999999996E-2</v>
      </c>
      <c r="I86">
        <v>0</v>
      </c>
    </row>
    <row r="87" spans="2:9" x14ac:dyDescent="0.3">
      <c r="B87" t="s">
        <v>256</v>
      </c>
      <c r="C87" t="s">
        <v>274</v>
      </c>
      <c r="D87">
        <v>9</v>
      </c>
      <c r="E87" t="s">
        <v>336</v>
      </c>
      <c r="F87">
        <v>8.0154169999999997E-2</v>
      </c>
      <c r="G87">
        <v>0</v>
      </c>
      <c r="H87">
        <v>8.0154169999999997E-2</v>
      </c>
      <c r="I87">
        <v>0</v>
      </c>
    </row>
    <row r="88" spans="2:9" x14ac:dyDescent="0.3">
      <c r="B88" t="s">
        <v>256</v>
      </c>
      <c r="C88" t="s">
        <v>274</v>
      </c>
      <c r="D88">
        <v>10</v>
      </c>
      <c r="E88" t="s">
        <v>337</v>
      </c>
      <c r="F88">
        <v>0.10684512</v>
      </c>
      <c r="G88">
        <v>0</v>
      </c>
      <c r="H88">
        <v>0.10684512</v>
      </c>
      <c r="I88">
        <v>0</v>
      </c>
    </row>
    <row r="89" spans="2:9" x14ac:dyDescent="0.3">
      <c r="B89" t="s">
        <v>256</v>
      </c>
      <c r="C89" t="s">
        <v>274</v>
      </c>
      <c r="D89">
        <v>11</v>
      </c>
      <c r="E89" t="s">
        <v>338</v>
      </c>
      <c r="F89">
        <v>0.18216889999999999</v>
      </c>
      <c r="G89">
        <v>0</v>
      </c>
      <c r="H89">
        <v>0.18216889999999999</v>
      </c>
      <c r="I89">
        <v>0</v>
      </c>
    </row>
    <row r="90" spans="2:9" x14ac:dyDescent="0.3">
      <c r="B90" t="s">
        <v>256</v>
      </c>
      <c r="C90" t="s">
        <v>274</v>
      </c>
      <c r="D90">
        <v>12</v>
      </c>
      <c r="E90" t="s">
        <v>339</v>
      </c>
      <c r="F90">
        <v>0.22221937999999999</v>
      </c>
      <c r="G90">
        <v>0</v>
      </c>
      <c r="H90">
        <v>0.22221937999999999</v>
      </c>
      <c r="I90">
        <v>0</v>
      </c>
    </row>
    <row r="91" spans="2:9" x14ac:dyDescent="0.3">
      <c r="B91" t="s">
        <v>256</v>
      </c>
      <c r="C91" t="s">
        <v>274</v>
      </c>
      <c r="D91">
        <v>13</v>
      </c>
      <c r="E91" t="s">
        <v>340</v>
      </c>
      <c r="F91">
        <v>0.2475791</v>
      </c>
      <c r="G91">
        <v>0</v>
      </c>
      <c r="H91">
        <v>0.2475791</v>
      </c>
      <c r="I91">
        <v>0</v>
      </c>
    </row>
    <row r="92" spans="2:9" x14ac:dyDescent="0.3">
      <c r="B92" t="s">
        <v>256</v>
      </c>
      <c r="C92" t="s">
        <v>274</v>
      </c>
      <c r="D92">
        <v>14</v>
      </c>
      <c r="E92" t="s">
        <v>341</v>
      </c>
      <c r="F92">
        <v>0.28285083999999999</v>
      </c>
      <c r="G92">
        <v>0</v>
      </c>
      <c r="H92">
        <v>0.28285083999999999</v>
      </c>
      <c r="I92">
        <v>0</v>
      </c>
    </row>
    <row r="93" spans="2:9" x14ac:dyDescent="0.3">
      <c r="B93" t="s">
        <v>256</v>
      </c>
      <c r="C93" t="s">
        <v>274</v>
      </c>
      <c r="D93">
        <v>15</v>
      </c>
      <c r="E93" t="s">
        <v>342</v>
      </c>
      <c r="F93">
        <v>0.49930127000000002</v>
      </c>
      <c r="G93">
        <v>0</v>
      </c>
      <c r="H93">
        <v>0.49930127000000002</v>
      </c>
      <c r="I93">
        <v>0</v>
      </c>
    </row>
    <row r="94" spans="2:9" x14ac:dyDescent="0.3">
      <c r="B94" t="s">
        <v>256</v>
      </c>
      <c r="C94" t="s">
        <v>274</v>
      </c>
      <c r="D94">
        <v>16</v>
      </c>
      <c r="E94" t="s">
        <v>343</v>
      </c>
      <c r="F94">
        <v>0.92599944999999995</v>
      </c>
      <c r="G94">
        <v>0</v>
      </c>
      <c r="H94">
        <v>0.92599944999999995</v>
      </c>
      <c r="I94">
        <v>0</v>
      </c>
    </row>
    <row r="95" spans="2:9" x14ac:dyDescent="0.3">
      <c r="B95" t="s">
        <v>256</v>
      </c>
      <c r="C95" t="s">
        <v>274</v>
      </c>
      <c r="D95">
        <v>17</v>
      </c>
      <c r="E95" t="s">
        <v>344</v>
      </c>
      <c r="F95">
        <v>1.12667724</v>
      </c>
      <c r="G95">
        <v>0</v>
      </c>
      <c r="H95">
        <v>1.12667724</v>
      </c>
      <c r="I95">
        <v>0</v>
      </c>
    </row>
    <row r="96" spans="2:9" x14ac:dyDescent="0.3">
      <c r="B96" t="s">
        <v>256</v>
      </c>
      <c r="C96" t="s">
        <v>274</v>
      </c>
      <c r="D96">
        <v>18</v>
      </c>
      <c r="E96" t="s">
        <v>16</v>
      </c>
      <c r="F96">
        <v>4.0184882899999996</v>
      </c>
      <c r="G96">
        <v>0</v>
      </c>
      <c r="H96">
        <v>4.0184882899999996</v>
      </c>
      <c r="I96">
        <v>0</v>
      </c>
    </row>
    <row r="97" spans="2:9" x14ac:dyDescent="0.3">
      <c r="B97" t="s">
        <v>256</v>
      </c>
      <c r="C97" t="s">
        <v>274</v>
      </c>
      <c r="D97">
        <v>19</v>
      </c>
      <c r="E97" t="s">
        <v>345</v>
      </c>
      <c r="F97">
        <v>16.985284499999999</v>
      </c>
      <c r="G97">
        <v>0</v>
      </c>
      <c r="H97">
        <v>16.985284499999999</v>
      </c>
      <c r="I97">
        <v>0</v>
      </c>
    </row>
    <row r="98" spans="2:9" x14ac:dyDescent="0.3">
      <c r="B98" t="s">
        <v>256</v>
      </c>
      <c r="C98" t="s">
        <v>274</v>
      </c>
      <c r="D98">
        <v>20</v>
      </c>
      <c r="E98" t="s">
        <v>346</v>
      </c>
      <c r="F98">
        <v>20.35736146</v>
      </c>
      <c r="G98">
        <v>0</v>
      </c>
      <c r="H98">
        <v>20.35736146</v>
      </c>
      <c r="I98">
        <v>0</v>
      </c>
    </row>
    <row r="99" spans="2:9" x14ac:dyDescent="0.3">
      <c r="B99" t="s">
        <v>256</v>
      </c>
      <c r="C99" t="s">
        <v>274</v>
      </c>
      <c r="D99">
        <v>1</v>
      </c>
      <c r="E99" t="s">
        <v>347</v>
      </c>
      <c r="F99" s="60">
        <v>3.5089999999999998E-5</v>
      </c>
      <c r="G99">
        <v>0</v>
      </c>
      <c r="H99">
        <v>3.5089999999999998E-5</v>
      </c>
      <c r="I99">
        <v>0</v>
      </c>
    </row>
    <row r="100" spans="2:9" x14ac:dyDescent="0.3">
      <c r="B100" t="s">
        <v>256</v>
      </c>
      <c r="C100" t="s">
        <v>274</v>
      </c>
      <c r="D100">
        <v>2</v>
      </c>
      <c r="E100" t="s">
        <v>348</v>
      </c>
      <c r="F100">
        <v>1.5642900000000001E-3</v>
      </c>
      <c r="G100">
        <v>0</v>
      </c>
      <c r="H100">
        <v>1.5642900000000001E-3</v>
      </c>
      <c r="I100">
        <v>0</v>
      </c>
    </row>
    <row r="101" spans="2:9" x14ac:dyDescent="0.3">
      <c r="B101" t="s">
        <v>256</v>
      </c>
      <c r="C101" t="s">
        <v>274</v>
      </c>
      <c r="D101">
        <v>3</v>
      </c>
      <c r="E101" t="s">
        <v>349</v>
      </c>
      <c r="F101">
        <v>7.8692499999999995E-3</v>
      </c>
      <c r="G101">
        <v>0</v>
      </c>
      <c r="H101">
        <v>7.8692499999999995E-3</v>
      </c>
      <c r="I101">
        <v>0</v>
      </c>
    </row>
    <row r="102" spans="2:9" x14ac:dyDescent="0.3">
      <c r="B102" t="s">
        <v>256</v>
      </c>
      <c r="C102" t="s">
        <v>274</v>
      </c>
      <c r="D102">
        <v>4</v>
      </c>
      <c r="E102" t="s">
        <v>350</v>
      </c>
      <c r="F102">
        <v>8.3371000000000001E-3</v>
      </c>
      <c r="G102">
        <v>0</v>
      </c>
      <c r="H102">
        <v>8.3371000000000001E-3</v>
      </c>
      <c r="I102">
        <v>0</v>
      </c>
    </row>
    <row r="103" spans="2:9" x14ac:dyDescent="0.3">
      <c r="B103" t="s">
        <v>256</v>
      </c>
      <c r="C103" t="s">
        <v>274</v>
      </c>
      <c r="D103">
        <v>5</v>
      </c>
      <c r="E103" t="s">
        <v>282</v>
      </c>
      <c r="F103">
        <v>1.4803749999999999E-2</v>
      </c>
      <c r="G103">
        <v>0</v>
      </c>
      <c r="H103">
        <v>1.4803749999999999E-2</v>
      </c>
      <c r="I103">
        <v>0</v>
      </c>
    </row>
    <row r="104" spans="2:9" x14ac:dyDescent="0.3">
      <c r="B104" t="s">
        <v>256</v>
      </c>
      <c r="C104" t="s">
        <v>274</v>
      </c>
      <c r="D104">
        <v>6</v>
      </c>
      <c r="E104" t="s">
        <v>351</v>
      </c>
      <c r="F104">
        <v>3.343952E-2</v>
      </c>
      <c r="G104">
        <v>0</v>
      </c>
      <c r="H104">
        <v>3.343952E-2</v>
      </c>
      <c r="I104">
        <v>0</v>
      </c>
    </row>
    <row r="105" spans="2:9" x14ac:dyDescent="0.3">
      <c r="B105" t="s">
        <v>256</v>
      </c>
      <c r="C105" t="s">
        <v>274</v>
      </c>
      <c r="D105">
        <v>7</v>
      </c>
      <c r="E105" t="s">
        <v>352</v>
      </c>
      <c r="F105">
        <v>4.7331119999999997E-2</v>
      </c>
      <c r="G105">
        <v>0</v>
      </c>
      <c r="H105">
        <v>4.7331119999999997E-2</v>
      </c>
      <c r="I105">
        <v>0</v>
      </c>
    </row>
    <row r="106" spans="2:9" x14ac:dyDescent="0.3">
      <c r="B106" t="s">
        <v>256</v>
      </c>
      <c r="C106" t="s">
        <v>274</v>
      </c>
      <c r="D106">
        <v>8</v>
      </c>
      <c r="E106" t="s">
        <v>353</v>
      </c>
      <c r="F106">
        <v>5.3612739999999999E-2</v>
      </c>
      <c r="G106">
        <v>0</v>
      </c>
      <c r="H106">
        <v>5.3612739999999999E-2</v>
      </c>
      <c r="I106">
        <v>0</v>
      </c>
    </row>
    <row r="107" spans="2:9" x14ac:dyDescent="0.3">
      <c r="B107" t="s">
        <v>256</v>
      </c>
      <c r="C107" t="s">
        <v>274</v>
      </c>
      <c r="D107">
        <v>9</v>
      </c>
      <c r="E107" t="s">
        <v>354</v>
      </c>
      <c r="F107">
        <v>6.3950640000000003E-2</v>
      </c>
      <c r="G107">
        <v>0</v>
      </c>
      <c r="H107">
        <v>6.3950640000000003E-2</v>
      </c>
      <c r="I107">
        <v>0</v>
      </c>
    </row>
    <row r="108" spans="2:9" x14ac:dyDescent="0.3">
      <c r="B108" t="s">
        <v>256</v>
      </c>
      <c r="C108" t="s">
        <v>274</v>
      </c>
      <c r="D108">
        <v>10</v>
      </c>
      <c r="E108" t="s">
        <v>355</v>
      </c>
      <c r="F108">
        <v>0.14333292</v>
      </c>
      <c r="G108">
        <v>0</v>
      </c>
      <c r="H108">
        <v>0.14333292</v>
      </c>
      <c r="I108">
        <v>0</v>
      </c>
    </row>
    <row r="109" spans="2:9" x14ac:dyDescent="0.3">
      <c r="B109" t="s">
        <v>256</v>
      </c>
      <c r="C109" t="s">
        <v>274</v>
      </c>
      <c r="D109">
        <v>11</v>
      </c>
      <c r="E109" t="s">
        <v>356</v>
      </c>
      <c r="F109">
        <v>0.14503778000000001</v>
      </c>
      <c r="G109">
        <v>0</v>
      </c>
      <c r="H109">
        <v>0.14503778000000001</v>
      </c>
      <c r="I109">
        <v>0</v>
      </c>
    </row>
    <row r="110" spans="2:9" x14ac:dyDescent="0.3">
      <c r="B110" t="s">
        <v>256</v>
      </c>
      <c r="C110" t="s">
        <v>274</v>
      </c>
      <c r="D110">
        <v>12</v>
      </c>
      <c r="E110" t="s">
        <v>357</v>
      </c>
      <c r="F110">
        <v>0.24594822999999999</v>
      </c>
      <c r="G110">
        <v>0</v>
      </c>
      <c r="H110">
        <v>0.24594822999999999</v>
      </c>
      <c r="I110">
        <v>0</v>
      </c>
    </row>
    <row r="111" spans="2:9" x14ac:dyDescent="0.3">
      <c r="B111" t="s">
        <v>256</v>
      </c>
      <c r="C111" t="s">
        <v>274</v>
      </c>
      <c r="D111">
        <v>13</v>
      </c>
      <c r="E111" t="s">
        <v>358</v>
      </c>
      <c r="F111">
        <v>0.27936017000000002</v>
      </c>
      <c r="G111">
        <v>0</v>
      </c>
      <c r="H111">
        <v>0.27936017000000002</v>
      </c>
      <c r="I111">
        <v>0</v>
      </c>
    </row>
    <row r="112" spans="2:9" x14ac:dyDescent="0.3">
      <c r="B112" t="s">
        <v>256</v>
      </c>
      <c r="C112" t="s">
        <v>274</v>
      </c>
      <c r="D112">
        <v>14</v>
      </c>
      <c r="E112" t="s">
        <v>359</v>
      </c>
      <c r="F112">
        <v>0.29742374999999999</v>
      </c>
      <c r="G112">
        <v>0</v>
      </c>
      <c r="H112">
        <v>0.29742374999999999</v>
      </c>
      <c r="I112">
        <v>0</v>
      </c>
    </row>
    <row r="113" spans="2:9" x14ac:dyDescent="0.3">
      <c r="B113" t="s">
        <v>256</v>
      </c>
      <c r="C113" t="s">
        <v>274</v>
      </c>
      <c r="D113">
        <v>15</v>
      </c>
      <c r="E113" t="s">
        <v>360</v>
      </c>
      <c r="F113">
        <v>0.31973625999999999</v>
      </c>
      <c r="G113">
        <v>0</v>
      </c>
      <c r="H113">
        <v>0.31973625999999999</v>
      </c>
      <c r="I113">
        <v>0</v>
      </c>
    </row>
    <row r="114" spans="2:9" x14ac:dyDescent="0.3">
      <c r="B114" t="s">
        <v>256</v>
      </c>
      <c r="C114" t="s">
        <v>274</v>
      </c>
      <c r="D114">
        <v>16</v>
      </c>
      <c r="E114" t="s">
        <v>361</v>
      </c>
      <c r="F114">
        <v>0.37784275</v>
      </c>
      <c r="G114">
        <v>0</v>
      </c>
      <c r="H114">
        <v>0.37784275</v>
      </c>
      <c r="I114">
        <v>0</v>
      </c>
    </row>
    <row r="115" spans="2:9" x14ac:dyDescent="0.3">
      <c r="B115" t="s">
        <v>256</v>
      </c>
      <c r="C115" t="s">
        <v>274</v>
      </c>
      <c r="D115">
        <v>17</v>
      </c>
      <c r="E115" t="s">
        <v>362</v>
      </c>
      <c r="F115">
        <v>0.43353949000000003</v>
      </c>
      <c r="G115">
        <v>0</v>
      </c>
      <c r="H115">
        <v>0.43353949000000003</v>
      </c>
      <c r="I115">
        <v>0</v>
      </c>
    </row>
    <row r="116" spans="2:9" x14ac:dyDescent="0.3">
      <c r="B116" t="s">
        <v>256</v>
      </c>
      <c r="C116" t="s">
        <v>274</v>
      </c>
      <c r="D116">
        <v>18</v>
      </c>
      <c r="E116" t="s">
        <v>363</v>
      </c>
      <c r="F116">
        <v>0.49032842999999998</v>
      </c>
      <c r="G116">
        <v>0</v>
      </c>
      <c r="H116">
        <v>0.49032842999999998</v>
      </c>
      <c r="I116">
        <v>0</v>
      </c>
    </row>
    <row r="117" spans="2:9" x14ac:dyDescent="0.3">
      <c r="B117" t="s">
        <v>256</v>
      </c>
      <c r="C117" t="s">
        <v>274</v>
      </c>
      <c r="D117">
        <v>19</v>
      </c>
      <c r="E117" t="s">
        <v>364</v>
      </c>
      <c r="F117">
        <v>2.9208267499999998</v>
      </c>
      <c r="G117">
        <v>0</v>
      </c>
      <c r="H117">
        <v>2.9208267499999998</v>
      </c>
      <c r="I117">
        <v>0</v>
      </c>
    </row>
    <row r="118" spans="2:9" x14ac:dyDescent="0.3">
      <c r="B118" t="s">
        <v>256</v>
      </c>
      <c r="C118" t="s">
        <v>274</v>
      </c>
      <c r="D118">
        <v>20</v>
      </c>
      <c r="E118" t="s">
        <v>365</v>
      </c>
      <c r="F118">
        <v>3.0223258199999998</v>
      </c>
      <c r="G118">
        <v>0</v>
      </c>
      <c r="H118">
        <v>3.0223258199999998</v>
      </c>
      <c r="I118">
        <v>0</v>
      </c>
    </row>
    <row r="119" spans="2:9" x14ac:dyDescent="0.3">
      <c r="B119" t="s">
        <v>256</v>
      </c>
      <c r="C119" t="s">
        <v>274</v>
      </c>
      <c r="D119">
        <v>1</v>
      </c>
      <c r="E119" t="s">
        <v>366</v>
      </c>
      <c r="F119">
        <v>0</v>
      </c>
      <c r="G119">
        <v>0</v>
      </c>
      <c r="H119">
        <v>0</v>
      </c>
      <c r="I119">
        <v>0</v>
      </c>
    </row>
    <row r="120" spans="2:9" x14ac:dyDescent="0.3">
      <c r="B120" t="s">
        <v>256</v>
      </c>
      <c r="C120" t="s">
        <v>274</v>
      </c>
      <c r="D120">
        <v>2</v>
      </c>
      <c r="E120" t="s">
        <v>367</v>
      </c>
      <c r="F120" s="60">
        <v>1.17E-6</v>
      </c>
      <c r="G120">
        <v>0</v>
      </c>
      <c r="H120">
        <v>1.17E-6</v>
      </c>
      <c r="I120">
        <v>0</v>
      </c>
    </row>
    <row r="121" spans="2:9" x14ac:dyDescent="0.3">
      <c r="B121" t="s">
        <v>256</v>
      </c>
      <c r="C121" t="s">
        <v>274</v>
      </c>
      <c r="D121">
        <v>3</v>
      </c>
      <c r="E121" t="s">
        <v>368</v>
      </c>
      <c r="F121" s="60">
        <v>9.0069999999999997E-5</v>
      </c>
      <c r="G121">
        <v>0</v>
      </c>
      <c r="H121">
        <v>9.0069999999999997E-5</v>
      </c>
      <c r="I121">
        <v>0</v>
      </c>
    </row>
    <row r="122" spans="2:9" x14ac:dyDescent="0.3">
      <c r="B122" t="s">
        <v>256</v>
      </c>
      <c r="C122" t="s">
        <v>274</v>
      </c>
      <c r="D122">
        <v>4</v>
      </c>
      <c r="E122" t="s">
        <v>369</v>
      </c>
      <c r="F122" s="60">
        <v>7.1088E-4</v>
      </c>
      <c r="G122">
        <v>0</v>
      </c>
      <c r="H122">
        <v>7.1088E-4</v>
      </c>
      <c r="I122">
        <v>0</v>
      </c>
    </row>
    <row r="123" spans="2:9" x14ac:dyDescent="0.3">
      <c r="B123" t="s">
        <v>256</v>
      </c>
      <c r="C123" t="s">
        <v>274</v>
      </c>
      <c r="D123">
        <v>5</v>
      </c>
      <c r="E123" t="s">
        <v>370</v>
      </c>
      <c r="F123">
        <v>1.7536100000000001E-3</v>
      </c>
      <c r="G123">
        <v>0</v>
      </c>
      <c r="H123">
        <v>1.7536100000000001E-3</v>
      </c>
      <c r="I123">
        <v>0</v>
      </c>
    </row>
    <row r="124" spans="2:9" x14ac:dyDescent="0.3">
      <c r="B124" t="s">
        <v>256</v>
      </c>
      <c r="C124" t="s">
        <v>274</v>
      </c>
      <c r="D124">
        <v>6</v>
      </c>
      <c r="E124" t="s">
        <v>371</v>
      </c>
      <c r="F124">
        <v>3.8639600000000001E-3</v>
      </c>
      <c r="G124">
        <v>0</v>
      </c>
      <c r="H124">
        <v>3.8639600000000001E-3</v>
      </c>
      <c r="I124">
        <v>0</v>
      </c>
    </row>
    <row r="125" spans="2:9" x14ac:dyDescent="0.3">
      <c r="B125" t="s">
        <v>256</v>
      </c>
      <c r="C125" t="s">
        <v>274</v>
      </c>
      <c r="D125">
        <v>7</v>
      </c>
      <c r="E125" t="s">
        <v>372</v>
      </c>
      <c r="F125">
        <v>4.9735500000000002E-3</v>
      </c>
      <c r="G125">
        <v>0</v>
      </c>
      <c r="H125">
        <v>4.9735500000000002E-3</v>
      </c>
      <c r="I125">
        <v>0</v>
      </c>
    </row>
    <row r="126" spans="2:9" x14ac:dyDescent="0.3">
      <c r="B126" t="s">
        <v>256</v>
      </c>
      <c r="C126" t="s">
        <v>274</v>
      </c>
      <c r="D126">
        <v>8</v>
      </c>
      <c r="E126" t="s">
        <v>373</v>
      </c>
      <c r="F126">
        <v>1.842506E-2</v>
      </c>
      <c r="G126">
        <v>0</v>
      </c>
      <c r="H126">
        <v>1.842506E-2</v>
      </c>
      <c r="I126">
        <v>0</v>
      </c>
    </row>
    <row r="127" spans="2:9" x14ac:dyDescent="0.3">
      <c r="B127" t="s">
        <v>256</v>
      </c>
      <c r="C127" t="s">
        <v>274</v>
      </c>
      <c r="D127">
        <v>9</v>
      </c>
      <c r="E127" t="s">
        <v>374</v>
      </c>
      <c r="F127">
        <v>2.2885539999999999E-2</v>
      </c>
      <c r="G127">
        <v>0</v>
      </c>
      <c r="H127">
        <v>2.2885539999999999E-2</v>
      </c>
      <c r="I127">
        <v>0</v>
      </c>
    </row>
    <row r="128" spans="2:9" x14ac:dyDescent="0.3">
      <c r="B128" t="s">
        <v>256</v>
      </c>
      <c r="C128" t="s">
        <v>274</v>
      </c>
      <c r="D128">
        <v>10</v>
      </c>
      <c r="E128" t="s">
        <v>375</v>
      </c>
      <c r="F128">
        <v>2.524121E-2</v>
      </c>
      <c r="G128">
        <v>0</v>
      </c>
      <c r="H128">
        <v>2.524121E-2</v>
      </c>
      <c r="I128">
        <v>0</v>
      </c>
    </row>
    <row r="129" spans="2:9" x14ac:dyDescent="0.3">
      <c r="B129" t="s">
        <v>256</v>
      </c>
      <c r="C129" t="s">
        <v>274</v>
      </c>
      <c r="D129">
        <v>11</v>
      </c>
      <c r="E129" t="s">
        <v>376</v>
      </c>
      <c r="F129">
        <v>4.3070589999999999E-2</v>
      </c>
      <c r="G129">
        <v>0</v>
      </c>
      <c r="H129">
        <v>4.3070589999999999E-2</v>
      </c>
      <c r="I129">
        <v>0</v>
      </c>
    </row>
    <row r="130" spans="2:9" x14ac:dyDescent="0.3">
      <c r="B130" t="s">
        <v>256</v>
      </c>
      <c r="C130" t="s">
        <v>274</v>
      </c>
      <c r="D130">
        <v>12</v>
      </c>
      <c r="E130" t="s">
        <v>377</v>
      </c>
      <c r="F130">
        <v>0.11567642</v>
      </c>
      <c r="G130">
        <v>0</v>
      </c>
      <c r="H130">
        <v>0.11567642</v>
      </c>
      <c r="I130">
        <v>0</v>
      </c>
    </row>
    <row r="131" spans="2:9" x14ac:dyDescent="0.3">
      <c r="B131" t="s">
        <v>256</v>
      </c>
      <c r="C131" t="s">
        <v>274</v>
      </c>
      <c r="D131">
        <v>13</v>
      </c>
      <c r="E131" t="s">
        <v>378</v>
      </c>
      <c r="F131">
        <v>0.28666387999999998</v>
      </c>
      <c r="G131">
        <v>0</v>
      </c>
      <c r="H131">
        <v>0.28666387999999998</v>
      </c>
      <c r="I131">
        <v>0</v>
      </c>
    </row>
    <row r="132" spans="2:9" x14ac:dyDescent="0.3">
      <c r="B132" t="s">
        <v>256</v>
      </c>
      <c r="C132" t="s">
        <v>274</v>
      </c>
      <c r="D132">
        <v>14</v>
      </c>
      <c r="E132" t="s">
        <v>379</v>
      </c>
      <c r="F132">
        <v>0.32937556000000001</v>
      </c>
      <c r="G132">
        <v>0</v>
      </c>
      <c r="H132">
        <v>0.32937556000000001</v>
      </c>
      <c r="I132">
        <v>0</v>
      </c>
    </row>
    <row r="133" spans="2:9" x14ac:dyDescent="0.3">
      <c r="B133" t="s">
        <v>256</v>
      </c>
      <c r="C133" t="s">
        <v>274</v>
      </c>
      <c r="D133">
        <v>15</v>
      </c>
      <c r="E133" t="s">
        <v>380</v>
      </c>
      <c r="F133">
        <v>0.38170524</v>
      </c>
      <c r="G133">
        <v>0</v>
      </c>
      <c r="H133">
        <v>0.38170524</v>
      </c>
      <c r="I133">
        <v>0</v>
      </c>
    </row>
    <row r="134" spans="2:9" x14ac:dyDescent="0.3">
      <c r="B134" t="s">
        <v>256</v>
      </c>
      <c r="C134" t="s">
        <v>274</v>
      </c>
      <c r="D134">
        <v>16</v>
      </c>
      <c r="E134" t="s">
        <v>381</v>
      </c>
      <c r="F134">
        <v>0.40384291</v>
      </c>
      <c r="G134">
        <v>0</v>
      </c>
      <c r="H134">
        <v>0.40384291</v>
      </c>
      <c r="I134">
        <v>0</v>
      </c>
    </row>
    <row r="135" spans="2:9" x14ac:dyDescent="0.3">
      <c r="B135" t="s">
        <v>256</v>
      </c>
      <c r="C135" t="s">
        <v>274</v>
      </c>
      <c r="D135">
        <v>17</v>
      </c>
      <c r="E135" t="s">
        <v>382</v>
      </c>
      <c r="F135">
        <v>0.51780057000000002</v>
      </c>
      <c r="G135">
        <v>0</v>
      </c>
      <c r="H135">
        <v>0.51780057000000002</v>
      </c>
      <c r="I135">
        <v>0</v>
      </c>
    </row>
    <row r="136" spans="2:9" x14ac:dyDescent="0.3">
      <c r="B136" t="s">
        <v>256</v>
      </c>
      <c r="C136" t="s">
        <v>274</v>
      </c>
      <c r="D136">
        <v>18</v>
      </c>
      <c r="E136" t="s">
        <v>383</v>
      </c>
      <c r="F136">
        <v>0.83829819000000005</v>
      </c>
      <c r="G136">
        <v>0</v>
      </c>
      <c r="H136">
        <v>0.83829819000000005</v>
      </c>
      <c r="I136">
        <v>0</v>
      </c>
    </row>
    <row r="137" spans="2:9" x14ac:dyDescent="0.3">
      <c r="B137" t="s">
        <v>256</v>
      </c>
      <c r="C137" t="s">
        <v>274</v>
      </c>
      <c r="D137">
        <v>19</v>
      </c>
      <c r="E137" t="s">
        <v>384</v>
      </c>
      <c r="F137">
        <v>0.93494781000000005</v>
      </c>
      <c r="G137">
        <v>0</v>
      </c>
      <c r="H137">
        <v>0.93494781000000005</v>
      </c>
      <c r="I137">
        <v>0</v>
      </c>
    </row>
    <row r="138" spans="2:9" x14ac:dyDescent="0.3">
      <c r="B138" t="s">
        <v>256</v>
      </c>
      <c r="C138" t="s">
        <v>274</v>
      </c>
      <c r="D138">
        <v>20</v>
      </c>
      <c r="E138" t="s">
        <v>385</v>
      </c>
      <c r="F138">
        <v>1.3069516800000001</v>
      </c>
      <c r="G138">
        <v>0</v>
      </c>
      <c r="H138">
        <v>1.3069516800000001</v>
      </c>
      <c r="I138">
        <v>0</v>
      </c>
    </row>
    <row r="139" spans="2:9" x14ac:dyDescent="0.3">
      <c r="B139" t="s">
        <v>256</v>
      </c>
      <c r="C139" t="s">
        <v>274</v>
      </c>
      <c r="D139">
        <v>1</v>
      </c>
      <c r="E139" t="s">
        <v>386</v>
      </c>
      <c r="F139">
        <v>0</v>
      </c>
      <c r="G139">
        <v>0</v>
      </c>
      <c r="H139">
        <v>0</v>
      </c>
      <c r="I139">
        <v>0</v>
      </c>
    </row>
    <row r="140" spans="2:9" x14ac:dyDescent="0.3">
      <c r="B140" t="s">
        <v>256</v>
      </c>
      <c r="C140" t="s">
        <v>274</v>
      </c>
      <c r="D140">
        <v>2</v>
      </c>
      <c r="E140" t="s">
        <v>387</v>
      </c>
      <c r="F140" s="60">
        <v>6.5289999999999993E-5</v>
      </c>
      <c r="G140">
        <v>0</v>
      </c>
      <c r="H140">
        <v>6.5289999999999993E-5</v>
      </c>
      <c r="I140">
        <v>0</v>
      </c>
    </row>
    <row r="141" spans="2:9" x14ac:dyDescent="0.3">
      <c r="B141" t="s">
        <v>256</v>
      </c>
      <c r="C141" t="s">
        <v>274</v>
      </c>
      <c r="D141">
        <v>3</v>
      </c>
      <c r="E141" t="s">
        <v>388</v>
      </c>
      <c r="F141">
        <v>1.0383E-3</v>
      </c>
      <c r="G141">
        <v>0</v>
      </c>
      <c r="H141">
        <v>1.0383E-3</v>
      </c>
      <c r="I141">
        <v>0</v>
      </c>
    </row>
    <row r="142" spans="2:9" x14ac:dyDescent="0.3">
      <c r="B142" t="s">
        <v>256</v>
      </c>
      <c r="C142" t="s">
        <v>274</v>
      </c>
      <c r="D142">
        <v>4</v>
      </c>
      <c r="E142" t="s">
        <v>389</v>
      </c>
      <c r="F142">
        <v>1.53769E-3</v>
      </c>
      <c r="G142">
        <v>0</v>
      </c>
      <c r="H142">
        <v>1.53769E-3</v>
      </c>
      <c r="I142">
        <v>0</v>
      </c>
    </row>
    <row r="143" spans="2:9" x14ac:dyDescent="0.3">
      <c r="B143" t="s">
        <v>256</v>
      </c>
      <c r="C143" t="s">
        <v>274</v>
      </c>
      <c r="D143">
        <v>5</v>
      </c>
      <c r="E143" t="s">
        <v>390</v>
      </c>
      <c r="F143">
        <v>1.6826199999999999E-3</v>
      </c>
      <c r="G143">
        <v>0</v>
      </c>
      <c r="H143">
        <v>1.6826199999999999E-3</v>
      </c>
      <c r="I143">
        <v>0</v>
      </c>
    </row>
    <row r="144" spans="2:9" x14ac:dyDescent="0.3">
      <c r="B144" t="s">
        <v>256</v>
      </c>
      <c r="C144" t="s">
        <v>274</v>
      </c>
      <c r="D144">
        <v>6</v>
      </c>
      <c r="E144" t="s">
        <v>391</v>
      </c>
      <c r="F144">
        <v>1.8808500000000001E-3</v>
      </c>
      <c r="G144">
        <v>0</v>
      </c>
      <c r="H144">
        <v>1.8808500000000001E-3</v>
      </c>
      <c r="I144">
        <v>0</v>
      </c>
    </row>
    <row r="145" spans="2:9" x14ac:dyDescent="0.3">
      <c r="B145" t="s">
        <v>256</v>
      </c>
      <c r="C145" t="s">
        <v>274</v>
      </c>
      <c r="D145">
        <v>7</v>
      </c>
      <c r="E145" t="s">
        <v>392</v>
      </c>
      <c r="F145">
        <v>4.80825E-3</v>
      </c>
      <c r="G145">
        <v>0</v>
      </c>
      <c r="H145">
        <v>4.80825E-3</v>
      </c>
      <c r="I145">
        <v>0</v>
      </c>
    </row>
    <row r="146" spans="2:9" x14ac:dyDescent="0.3">
      <c r="B146" t="s">
        <v>256</v>
      </c>
      <c r="C146" t="s">
        <v>274</v>
      </c>
      <c r="D146">
        <v>8</v>
      </c>
      <c r="E146" t="s">
        <v>393</v>
      </c>
      <c r="F146">
        <v>5.0783599999999996E-3</v>
      </c>
      <c r="G146">
        <v>0</v>
      </c>
      <c r="H146">
        <v>5.0783599999999996E-3</v>
      </c>
      <c r="I146">
        <v>0</v>
      </c>
    </row>
    <row r="147" spans="2:9" x14ac:dyDescent="0.3">
      <c r="B147" t="s">
        <v>256</v>
      </c>
      <c r="C147" t="s">
        <v>274</v>
      </c>
      <c r="D147">
        <v>9</v>
      </c>
      <c r="E147" t="s">
        <v>394</v>
      </c>
      <c r="F147">
        <v>6.0062300000000004E-3</v>
      </c>
      <c r="G147">
        <v>0</v>
      </c>
      <c r="H147">
        <v>6.0062300000000004E-3</v>
      </c>
      <c r="I147">
        <v>0</v>
      </c>
    </row>
    <row r="148" spans="2:9" x14ac:dyDescent="0.3">
      <c r="B148" t="s">
        <v>256</v>
      </c>
      <c r="C148" t="s">
        <v>274</v>
      </c>
      <c r="D148">
        <v>10</v>
      </c>
      <c r="E148" t="s">
        <v>395</v>
      </c>
      <c r="F148">
        <v>6.6128599999999999E-3</v>
      </c>
      <c r="G148">
        <v>0</v>
      </c>
      <c r="H148">
        <v>6.6128599999999999E-3</v>
      </c>
      <c r="I148">
        <v>0</v>
      </c>
    </row>
    <row r="149" spans="2:9" x14ac:dyDescent="0.3">
      <c r="B149" t="s">
        <v>256</v>
      </c>
      <c r="C149" t="s">
        <v>274</v>
      </c>
      <c r="D149">
        <v>11</v>
      </c>
      <c r="E149" t="s">
        <v>396</v>
      </c>
      <c r="F149">
        <v>1.429593E-2</v>
      </c>
      <c r="G149">
        <v>0</v>
      </c>
      <c r="H149">
        <v>1.429593E-2</v>
      </c>
      <c r="I149">
        <v>0</v>
      </c>
    </row>
    <row r="150" spans="2:9" x14ac:dyDescent="0.3">
      <c r="B150" t="s">
        <v>256</v>
      </c>
      <c r="C150" t="s">
        <v>274</v>
      </c>
      <c r="D150">
        <v>12</v>
      </c>
      <c r="E150" t="s">
        <v>397</v>
      </c>
      <c r="F150">
        <v>2.7984100000000001E-2</v>
      </c>
      <c r="G150">
        <v>0</v>
      </c>
      <c r="H150">
        <v>2.7984100000000001E-2</v>
      </c>
      <c r="I150">
        <v>0</v>
      </c>
    </row>
    <row r="151" spans="2:9" x14ac:dyDescent="0.3">
      <c r="B151" t="s">
        <v>256</v>
      </c>
      <c r="C151" t="s">
        <v>274</v>
      </c>
      <c r="D151">
        <v>13</v>
      </c>
      <c r="E151" t="s">
        <v>398</v>
      </c>
      <c r="F151">
        <v>2.8653430000000001E-2</v>
      </c>
      <c r="G151">
        <v>0</v>
      </c>
      <c r="H151">
        <v>2.8653430000000001E-2</v>
      </c>
      <c r="I151">
        <v>0</v>
      </c>
    </row>
    <row r="152" spans="2:9" x14ac:dyDescent="0.3">
      <c r="B152" t="s">
        <v>256</v>
      </c>
      <c r="C152" t="s">
        <v>274</v>
      </c>
      <c r="D152">
        <v>14</v>
      </c>
      <c r="E152" t="s">
        <v>399</v>
      </c>
      <c r="F152">
        <v>3.6312770000000001E-2</v>
      </c>
      <c r="G152">
        <v>0</v>
      </c>
      <c r="H152">
        <v>3.6312770000000001E-2</v>
      </c>
      <c r="I152">
        <v>0</v>
      </c>
    </row>
    <row r="153" spans="2:9" x14ac:dyDescent="0.3">
      <c r="B153" t="s">
        <v>256</v>
      </c>
      <c r="C153" t="s">
        <v>274</v>
      </c>
      <c r="D153">
        <v>15</v>
      </c>
      <c r="E153" t="s">
        <v>400</v>
      </c>
      <c r="F153">
        <v>4.077857E-2</v>
      </c>
      <c r="G153">
        <v>0</v>
      </c>
      <c r="H153">
        <v>4.077857E-2</v>
      </c>
      <c r="I153">
        <v>0</v>
      </c>
    </row>
    <row r="154" spans="2:9" x14ac:dyDescent="0.3">
      <c r="B154" t="s">
        <v>256</v>
      </c>
      <c r="C154" t="s">
        <v>274</v>
      </c>
      <c r="D154">
        <v>16</v>
      </c>
      <c r="E154" t="s">
        <v>401</v>
      </c>
      <c r="F154">
        <v>4.2736679999999999E-2</v>
      </c>
      <c r="G154">
        <v>0</v>
      </c>
      <c r="H154">
        <v>4.2736679999999999E-2</v>
      </c>
      <c r="I154">
        <v>0</v>
      </c>
    </row>
    <row r="155" spans="2:9" x14ac:dyDescent="0.3">
      <c r="B155" t="s">
        <v>256</v>
      </c>
      <c r="C155" t="s">
        <v>274</v>
      </c>
      <c r="D155">
        <v>17</v>
      </c>
      <c r="E155" t="s">
        <v>402</v>
      </c>
      <c r="F155">
        <v>4.4489479999999998E-2</v>
      </c>
      <c r="G155">
        <v>0</v>
      </c>
      <c r="H155">
        <v>4.4489479999999998E-2</v>
      </c>
      <c r="I155">
        <v>0</v>
      </c>
    </row>
    <row r="156" spans="2:9" x14ac:dyDescent="0.3">
      <c r="B156" t="s">
        <v>256</v>
      </c>
      <c r="C156" t="s">
        <v>274</v>
      </c>
      <c r="D156">
        <v>18</v>
      </c>
      <c r="E156" t="s">
        <v>403</v>
      </c>
      <c r="F156">
        <v>6.0454859999999999E-2</v>
      </c>
      <c r="G156">
        <v>0</v>
      </c>
      <c r="H156">
        <v>6.0454859999999999E-2</v>
      </c>
      <c r="I156">
        <v>0</v>
      </c>
    </row>
    <row r="157" spans="2:9" x14ac:dyDescent="0.3">
      <c r="B157" t="s">
        <v>256</v>
      </c>
      <c r="C157" t="s">
        <v>274</v>
      </c>
      <c r="D157">
        <v>19</v>
      </c>
      <c r="E157" t="s">
        <v>404</v>
      </c>
      <c r="F157">
        <v>0.11198901</v>
      </c>
      <c r="G157">
        <v>0</v>
      </c>
      <c r="H157">
        <v>0.11198901</v>
      </c>
      <c r="I157">
        <v>0</v>
      </c>
    </row>
    <row r="158" spans="2:9" x14ac:dyDescent="0.3">
      <c r="B158" t="s">
        <v>256</v>
      </c>
      <c r="C158" t="s">
        <v>274</v>
      </c>
      <c r="D158">
        <v>20</v>
      </c>
      <c r="E158" t="s">
        <v>405</v>
      </c>
      <c r="F158">
        <v>0.70363281</v>
      </c>
      <c r="G158">
        <v>0</v>
      </c>
      <c r="H158">
        <v>0.70363281</v>
      </c>
      <c r="I158">
        <v>0</v>
      </c>
    </row>
    <row r="159" spans="2:9" x14ac:dyDescent="0.3">
      <c r="B159" t="s">
        <v>256</v>
      </c>
      <c r="C159" t="s">
        <v>274</v>
      </c>
      <c r="D159">
        <v>1</v>
      </c>
      <c r="E159" t="s">
        <v>406</v>
      </c>
      <c r="F159">
        <v>0</v>
      </c>
      <c r="G159">
        <v>0</v>
      </c>
      <c r="H159">
        <v>0</v>
      </c>
      <c r="I159">
        <v>0</v>
      </c>
    </row>
    <row r="160" spans="2:9" x14ac:dyDescent="0.3">
      <c r="B160" t="s">
        <v>256</v>
      </c>
      <c r="C160" t="s">
        <v>274</v>
      </c>
      <c r="D160">
        <v>2</v>
      </c>
      <c r="E160" t="s">
        <v>407</v>
      </c>
      <c r="F160" s="60">
        <v>5.4429999999999999E-5</v>
      </c>
      <c r="G160">
        <v>0</v>
      </c>
      <c r="H160">
        <v>5.4429999999999999E-5</v>
      </c>
      <c r="I160">
        <v>0</v>
      </c>
    </row>
    <row r="161" spans="2:9" x14ac:dyDescent="0.3">
      <c r="B161" t="s">
        <v>256</v>
      </c>
      <c r="C161" t="s">
        <v>274</v>
      </c>
      <c r="D161">
        <v>3</v>
      </c>
      <c r="E161" t="s">
        <v>408</v>
      </c>
      <c r="F161" s="60">
        <v>6.1989E-4</v>
      </c>
      <c r="G161">
        <v>0</v>
      </c>
      <c r="H161">
        <v>6.1989E-4</v>
      </c>
      <c r="I161">
        <v>0</v>
      </c>
    </row>
    <row r="162" spans="2:9" x14ac:dyDescent="0.3">
      <c r="B162" t="s">
        <v>256</v>
      </c>
      <c r="C162" t="s">
        <v>274</v>
      </c>
      <c r="D162">
        <v>4</v>
      </c>
      <c r="E162" t="s">
        <v>409</v>
      </c>
      <c r="F162" s="60">
        <v>6.2449999999999995E-4</v>
      </c>
      <c r="G162">
        <v>0</v>
      </c>
      <c r="H162">
        <v>6.2449999999999995E-4</v>
      </c>
      <c r="I162">
        <v>0</v>
      </c>
    </row>
    <row r="163" spans="2:9" x14ac:dyDescent="0.3">
      <c r="B163" t="s">
        <v>256</v>
      </c>
      <c r="C163" t="s">
        <v>274</v>
      </c>
      <c r="D163">
        <v>5</v>
      </c>
      <c r="E163" t="s">
        <v>81</v>
      </c>
      <c r="F163">
        <v>1.69462E-3</v>
      </c>
      <c r="G163">
        <v>0</v>
      </c>
      <c r="H163">
        <v>1.69462E-3</v>
      </c>
      <c r="I163">
        <v>0</v>
      </c>
    </row>
    <row r="164" spans="2:9" x14ac:dyDescent="0.3">
      <c r="B164" t="s">
        <v>256</v>
      </c>
      <c r="C164" t="s">
        <v>274</v>
      </c>
      <c r="D164">
        <v>6</v>
      </c>
      <c r="E164" t="s">
        <v>410</v>
      </c>
      <c r="F164">
        <v>1.73872E-3</v>
      </c>
      <c r="G164">
        <v>0</v>
      </c>
      <c r="H164">
        <v>1.73872E-3</v>
      </c>
      <c r="I164">
        <v>0</v>
      </c>
    </row>
    <row r="165" spans="2:9" x14ac:dyDescent="0.3">
      <c r="B165" t="s">
        <v>256</v>
      </c>
      <c r="C165" t="s">
        <v>274</v>
      </c>
      <c r="D165">
        <v>7</v>
      </c>
      <c r="E165" t="s">
        <v>411</v>
      </c>
      <c r="F165">
        <v>1.9834499999999999E-3</v>
      </c>
      <c r="G165">
        <v>0</v>
      </c>
      <c r="H165">
        <v>1.9834499999999999E-3</v>
      </c>
      <c r="I165">
        <v>0</v>
      </c>
    </row>
    <row r="166" spans="2:9" x14ac:dyDescent="0.3">
      <c r="B166" t="s">
        <v>256</v>
      </c>
      <c r="C166" t="s">
        <v>274</v>
      </c>
      <c r="D166">
        <v>8</v>
      </c>
      <c r="E166" t="s">
        <v>412</v>
      </c>
      <c r="F166">
        <v>3.54522E-3</v>
      </c>
      <c r="G166">
        <v>0</v>
      </c>
      <c r="H166">
        <v>3.54522E-3</v>
      </c>
      <c r="I166">
        <v>0</v>
      </c>
    </row>
    <row r="167" spans="2:9" x14ac:dyDescent="0.3">
      <c r="B167" t="s">
        <v>256</v>
      </c>
      <c r="C167" t="s">
        <v>274</v>
      </c>
      <c r="D167">
        <v>9</v>
      </c>
      <c r="E167" t="s">
        <v>413</v>
      </c>
      <c r="F167">
        <v>6.5007299999999997E-3</v>
      </c>
      <c r="G167">
        <v>0</v>
      </c>
      <c r="H167">
        <v>6.5007299999999997E-3</v>
      </c>
      <c r="I167">
        <v>0</v>
      </c>
    </row>
    <row r="168" spans="2:9" x14ac:dyDescent="0.3">
      <c r="B168" t="s">
        <v>256</v>
      </c>
      <c r="C168" t="s">
        <v>274</v>
      </c>
      <c r="D168">
        <v>10</v>
      </c>
      <c r="E168" t="s">
        <v>414</v>
      </c>
      <c r="F168">
        <v>7.7271199999999996E-3</v>
      </c>
      <c r="G168">
        <v>0</v>
      </c>
      <c r="H168">
        <v>7.7271199999999996E-3</v>
      </c>
      <c r="I168">
        <v>0</v>
      </c>
    </row>
    <row r="169" spans="2:9" x14ac:dyDescent="0.3">
      <c r="B169" t="s">
        <v>256</v>
      </c>
      <c r="C169" t="s">
        <v>274</v>
      </c>
      <c r="D169">
        <v>11</v>
      </c>
      <c r="E169" t="s">
        <v>415</v>
      </c>
      <c r="F169">
        <v>1.9241310000000001E-2</v>
      </c>
      <c r="G169">
        <v>0</v>
      </c>
      <c r="H169">
        <v>1.9241310000000001E-2</v>
      </c>
      <c r="I169">
        <v>0</v>
      </c>
    </row>
    <row r="170" spans="2:9" x14ac:dyDescent="0.3">
      <c r="B170" t="s">
        <v>256</v>
      </c>
      <c r="C170" t="s">
        <v>274</v>
      </c>
      <c r="D170">
        <v>12</v>
      </c>
      <c r="E170" t="s">
        <v>416</v>
      </c>
      <c r="F170">
        <v>2.0099909999999999E-2</v>
      </c>
      <c r="G170">
        <v>0</v>
      </c>
      <c r="H170">
        <v>2.0099909999999999E-2</v>
      </c>
      <c r="I170">
        <v>0</v>
      </c>
    </row>
    <row r="171" spans="2:9" x14ac:dyDescent="0.3">
      <c r="B171" t="s">
        <v>256</v>
      </c>
      <c r="C171" t="s">
        <v>274</v>
      </c>
      <c r="D171">
        <v>13</v>
      </c>
      <c r="E171" t="s">
        <v>417</v>
      </c>
      <c r="F171">
        <v>2.2213360000000001E-2</v>
      </c>
      <c r="G171">
        <v>0</v>
      </c>
      <c r="H171">
        <v>2.2213360000000001E-2</v>
      </c>
      <c r="I171">
        <v>0</v>
      </c>
    </row>
    <row r="172" spans="2:9" x14ac:dyDescent="0.3">
      <c r="B172" t="s">
        <v>256</v>
      </c>
      <c r="C172" t="s">
        <v>274</v>
      </c>
      <c r="D172">
        <v>14</v>
      </c>
      <c r="E172" t="s">
        <v>418</v>
      </c>
      <c r="F172">
        <v>2.7681500000000001E-2</v>
      </c>
      <c r="G172">
        <v>0</v>
      </c>
      <c r="H172">
        <v>2.7681500000000001E-2</v>
      </c>
      <c r="I172">
        <v>0</v>
      </c>
    </row>
    <row r="173" spans="2:9" x14ac:dyDescent="0.3">
      <c r="B173" t="s">
        <v>256</v>
      </c>
      <c r="C173" t="s">
        <v>274</v>
      </c>
      <c r="D173">
        <v>15</v>
      </c>
      <c r="E173" t="s">
        <v>419</v>
      </c>
      <c r="F173">
        <v>3.7432239999999999E-2</v>
      </c>
      <c r="G173">
        <v>0</v>
      </c>
      <c r="H173">
        <v>3.7432239999999999E-2</v>
      </c>
      <c r="I173">
        <v>0</v>
      </c>
    </row>
    <row r="174" spans="2:9" x14ac:dyDescent="0.3">
      <c r="B174" t="s">
        <v>256</v>
      </c>
      <c r="C174" t="s">
        <v>274</v>
      </c>
      <c r="D174">
        <v>16</v>
      </c>
      <c r="E174" t="s">
        <v>420</v>
      </c>
      <c r="F174">
        <v>7.0679699999999998E-2</v>
      </c>
      <c r="G174">
        <v>0</v>
      </c>
      <c r="H174">
        <v>7.0679699999999998E-2</v>
      </c>
      <c r="I174">
        <v>0</v>
      </c>
    </row>
    <row r="175" spans="2:9" x14ac:dyDescent="0.3">
      <c r="B175" t="s">
        <v>256</v>
      </c>
      <c r="C175" t="s">
        <v>274</v>
      </c>
      <c r="D175">
        <v>17</v>
      </c>
      <c r="E175" t="s">
        <v>421</v>
      </c>
      <c r="F175">
        <v>7.253685E-2</v>
      </c>
      <c r="G175">
        <v>0</v>
      </c>
      <c r="H175">
        <v>7.253685E-2</v>
      </c>
      <c r="I175">
        <v>0</v>
      </c>
    </row>
    <row r="176" spans="2:9" x14ac:dyDescent="0.3">
      <c r="B176" t="s">
        <v>256</v>
      </c>
      <c r="C176" t="s">
        <v>274</v>
      </c>
      <c r="D176">
        <v>18</v>
      </c>
      <c r="E176" t="s">
        <v>422</v>
      </c>
      <c r="F176">
        <v>0.39474388999999999</v>
      </c>
      <c r="G176">
        <v>0</v>
      </c>
      <c r="H176">
        <v>0.39474388999999999</v>
      </c>
      <c r="I176">
        <v>0</v>
      </c>
    </row>
    <row r="177" spans="2:9" x14ac:dyDescent="0.3">
      <c r="B177" t="s">
        <v>256</v>
      </c>
      <c r="C177" t="s">
        <v>274</v>
      </c>
      <c r="D177">
        <v>19</v>
      </c>
      <c r="E177" t="s">
        <v>423</v>
      </c>
      <c r="F177">
        <v>0.87062941000000005</v>
      </c>
      <c r="G177">
        <v>0</v>
      </c>
      <c r="H177">
        <v>0.87062941000000005</v>
      </c>
      <c r="I177">
        <v>0</v>
      </c>
    </row>
    <row r="178" spans="2:9" x14ac:dyDescent="0.3">
      <c r="B178" t="s">
        <v>256</v>
      </c>
      <c r="C178" t="s">
        <v>274</v>
      </c>
      <c r="D178">
        <v>20</v>
      </c>
      <c r="E178" t="s">
        <v>424</v>
      </c>
      <c r="F178">
        <v>1.2931910600000001</v>
      </c>
      <c r="G178">
        <v>0</v>
      </c>
      <c r="H178">
        <v>1.2931910600000001</v>
      </c>
      <c r="I178">
        <v>0</v>
      </c>
    </row>
    <row r="179" spans="2:9" x14ac:dyDescent="0.3">
      <c r="B179" t="s">
        <v>256</v>
      </c>
      <c r="C179" t="s">
        <v>274</v>
      </c>
      <c r="D179">
        <v>1</v>
      </c>
      <c r="E179" t="s">
        <v>425</v>
      </c>
      <c r="F179">
        <v>8.7154399999999996E-3</v>
      </c>
      <c r="G179">
        <v>0</v>
      </c>
      <c r="H179">
        <v>8.7154399999999996E-3</v>
      </c>
      <c r="I179">
        <v>0</v>
      </c>
    </row>
    <row r="180" spans="2:9" x14ac:dyDescent="0.3">
      <c r="B180" t="s">
        <v>256</v>
      </c>
      <c r="C180" t="s">
        <v>274</v>
      </c>
      <c r="D180">
        <v>2</v>
      </c>
      <c r="E180" t="s">
        <v>426</v>
      </c>
      <c r="F180">
        <v>1.060175E-2</v>
      </c>
      <c r="G180">
        <v>0</v>
      </c>
      <c r="H180">
        <v>1.060175E-2</v>
      </c>
      <c r="I180">
        <v>0</v>
      </c>
    </row>
    <row r="181" spans="2:9" x14ac:dyDescent="0.3">
      <c r="B181" t="s">
        <v>256</v>
      </c>
      <c r="C181" t="s">
        <v>274</v>
      </c>
      <c r="D181">
        <v>3</v>
      </c>
      <c r="E181" t="s">
        <v>427</v>
      </c>
      <c r="F181">
        <v>2.0828570000000001E-2</v>
      </c>
      <c r="G181">
        <v>0</v>
      </c>
      <c r="H181">
        <v>2.0828570000000001E-2</v>
      </c>
      <c r="I18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B21" sqref="B21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71</v>
      </c>
      <c r="C2" s="2" t="s">
        <v>25</v>
      </c>
    </row>
    <row r="3" spans="2:6" x14ac:dyDescent="0.3">
      <c r="B3" s="1" t="s">
        <v>72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99</v>
      </c>
      <c r="E7" s="22" t="b">
        <v>1</v>
      </c>
      <c r="F7" s="23" t="s">
        <v>22</v>
      </c>
    </row>
    <row r="8" spans="2:6" x14ac:dyDescent="0.3">
      <c r="B8" s="21">
        <v>1</v>
      </c>
      <c r="C8" s="22" t="s">
        <v>19</v>
      </c>
      <c r="D8" s="22" t="s">
        <v>100</v>
      </c>
      <c r="E8" s="22"/>
      <c r="F8" s="23" t="s">
        <v>22</v>
      </c>
    </row>
    <row r="9" spans="2:6" x14ac:dyDescent="0.3">
      <c r="B9" s="21">
        <v>1</v>
      </c>
      <c r="C9" s="22" t="s">
        <v>19</v>
      </c>
      <c r="D9" s="22" t="s">
        <v>101</v>
      </c>
      <c r="E9" s="22">
        <v>16</v>
      </c>
      <c r="F9" s="23" t="s">
        <v>21</v>
      </c>
    </row>
    <row r="10" spans="2:6" x14ac:dyDescent="0.3">
      <c r="B10" s="21">
        <v>2</v>
      </c>
      <c r="C10" s="22" t="s">
        <v>101</v>
      </c>
      <c r="D10" s="22" t="s">
        <v>102</v>
      </c>
      <c r="E10" s="22">
        <v>100</v>
      </c>
      <c r="F10" s="23" t="s">
        <v>22</v>
      </c>
    </row>
    <row r="11" spans="2:6" x14ac:dyDescent="0.3">
      <c r="B11" s="21">
        <v>2</v>
      </c>
      <c r="C11" s="22" t="s">
        <v>101</v>
      </c>
      <c r="D11" s="22" t="s">
        <v>103</v>
      </c>
      <c r="E11" s="22" t="s">
        <v>104</v>
      </c>
      <c r="F11" s="23" t="s">
        <v>22</v>
      </c>
    </row>
    <row r="12" spans="2:6" x14ac:dyDescent="0.3">
      <c r="B12" s="21">
        <v>2</v>
      </c>
      <c r="C12" s="22" t="s">
        <v>101</v>
      </c>
      <c r="D12" s="22" t="s">
        <v>105</v>
      </c>
      <c r="E12" s="22">
        <v>3.8600000000000003E-6</v>
      </c>
      <c r="F12" s="23" t="s">
        <v>22</v>
      </c>
    </row>
    <row r="13" spans="2:6" x14ac:dyDescent="0.3">
      <c r="B13" s="21">
        <v>2</v>
      </c>
      <c r="C13" s="22" t="s">
        <v>101</v>
      </c>
      <c r="D13" s="22" t="s">
        <v>106</v>
      </c>
      <c r="E13" s="22">
        <v>3.7799999999999998E-6</v>
      </c>
      <c r="F13" s="23" t="s">
        <v>22</v>
      </c>
    </row>
    <row r="14" spans="2:6" x14ac:dyDescent="0.3">
      <c r="B14" s="21">
        <v>2</v>
      </c>
      <c r="C14" s="22" t="s">
        <v>101</v>
      </c>
      <c r="D14" s="22" t="s">
        <v>107</v>
      </c>
      <c r="E14" s="22">
        <v>3.6600000000000001E-6</v>
      </c>
      <c r="F14" s="23" t="s">
        <v>22</v>
      </c>
    </row>
    <row r="15" spans="2:6" x14ac:dyDescent="0.3">
      <c r="B15" s="21">
        <v>2</v>
      </c>
      <c r="C15" s="22" t="s">
        <v>101</v>
      </c>
      <c r="D15" s="22" t="s">
        <v>108</v>
      </c>
      <c r="E15" s="22">
        <v>4.6999999999999999E-6</v>
      </c>
      <c r="F15" s="23" t="s">
        <v>22</v>
      </c>
    </row>
    <row r="16" spans="2:6" x14ac:dyDescent="0.3">
      <c r="B16" s="21">
        <v>2</v>
      </c>
      <c r="C16" s="22" t="s">
        <v>101</v>
      </c>
      <c r="D16" s="22" t="s">
        <v>109</v>
      </c>
      <c r="E16" s="22">
        <v>9524025.7817439195</v>
      </c>
      <c r="F16" s="23" t="s">
        <v>22</v>
      </c>
    </row>
    <row r="17" spans="2:18" x14ac:dyDescent="0.3">
      <c r="B17" s="21">
        <v>2</v>
      </c>
      <c r="C17" s="22" t="s">
        <v>101</v>
      </c>
      <c r="D17" s="22" t="s">
        <v>110</v>
      </c>
      <c r="E17" s="22">
        <v>3.8700000000000002E-6</v>
      </c>
      <c r="F17" s="23" t="s">
        <v>22</v>
      </c>
    </row>
    <row r="18" spans="2:18" x14ac:dyDescent="0.3">
      <c r="B18" s="21">
        <v>2</v>
      </c>
      <c r="C18" s="22" t="s">
        <v>101</v>
      </c>
      <c r="D18" s="22" t="s">
        <v>111</v>
      </c>
      <c r="E18" s="22">
        <v>82909792.148581594</v>
      </c>
      <c r="F18" s="23" t="s">
        <v>22</v>
      </c>
    </row>
    <row r="19" spans="2:18" x14ac:dyDescent="0.3">
      <c r="B19" s="21">
        <v>2</v>
      </c>
      <c r="C19" s="22" t="s">
        <v>101</v>
      </c>
      <c r="D19" s="22" t="s">
        <v>112</v>
      </c>
      <c r="E19" s="22">
        <v>31725991.532281999</v>
      </c>
      <c r="F19" s="23" t="s">
        <v>22</v>
      </c>
    </row>
    <row r="20" spans="2:18" x14ac:dyDescent="0.3">
      <c r="B20" s="21">
        <v>2</v>
      </c>
      <c r="C20" s="22" t="s">
        <v>101</v>
      </c>
      <c r="D20" s="22" t="s">
        <v>113</v>
      </c>
      <c r="E20" s="22">
        <v>-16.77</v>
      </c>
      <c r="F20" s="23" t="s">
        <v>22</v>
      </c>
    </row>
    <row r="21" spans="2:18" x14ac:dyDescent="0.3">
      <c r="B21" s="21">
        <v>2</v>
      </c>
      <c r="C21" s="22" t="s">
        <v>101</v>
      </c>
      <c r="D21" s="22" t="s">
        <v>114</v>
      </c>
      <c r="E21" s="22">
        <v>4.6500000000000004E-6</v>
      </c>
      <c r="F21" s="23" t="s">
        <v>22</v>
      </c>
    </row>
    <row r="22" spans="2:18" x14ac:dyDescent="0.3">
      <c r="B22" s="21">
        <v>2</v>
      </c>
      <c r="C22" s="22" t="s">
        <v>101</v>
      </c>
      <c r="D22" s="22" t="s">
        <v>115</v>
      </c>
      <c r="E22" s="22">
        <v>3.8700000000000002E-6</v>
      </c>
      <c r="F22" s="23" t="s">
        <v>22</v>
      </c>
    </row>
    <row r="23" spans="2:18" x14ac:dyDescent="0.3">
      <c r="B23" s="21">
        <v>2</v>
      </c>
      <c r="C23" s="22" t="s">
        <v>101</v>
      </c>
      <c r="D23" s="22" t="s">
        <v>116</v>
      </c>
      <c r="E23" s="22">
        <v>40.124879909999997</v>
      </c>
      <c r="F23" s="23" t="s">
        <v>22</v>
      </c>
    </row>
    <row r="24" spans="2:18" x14ac:dyDescent="0.3">
      <c r="B24" s="21">
        <v>2</v>
      </c>
      <c r="C24" s="22" t="s">
        <v>101</v>
      </c>
      <c r="D24" s="22" t="s">
        <v>117</v>
      </c>
      <c r="E24" s="22">
        <v>50.745885250000001</v>
      </c>
      <c r="F24" s="23" t="s">
        <v>22</v>
      </c>
    </row>
    <row r="25" spans="2:18" x14ac:dyDescent="0.3">
      <c r="B25" s="21">
        <v>2</v>
      </c>
      <c r="C25" s="22" t="s">
        <v>101</v>
      </c>
      <c r="D25" s="22" t="s">
        <v>118</v>
      </c>
      <c r="E25" s="22">
        <v>512228520.15282297</v>
      </c>
      <c r="F25" s="23" t="s">
        <v>22</v>
      </c>
    </row>
    <row r="26" spans="2:18" ht="15" thickBot="1" x14ac:dyDescent="0.35">
      <c r="B26" s="6">
        <v>1</v>
      </c>
      <c r="C26" s="7" t="s">
        <v>19</v>
      </c>
      <c r="D26" s="7" t="s">
        <v>119</v>
      </c>
      <c r="E26" s="7"/>
      <c r="F26" s="8" t="s">
        <v>22</v>
      </c>
    </row>
    <row r="29" spans="2:18" ht="15" thickBot="1" x14ac:dyDescent="0.35">
      <c r="B29" s="18" t="s">
        <v>24</v>
      </c>
      <c r="C29" s="19"/>
      <c r="D29" s="19"/>
    </row>
    <row r="30" spans="2:18" x14ac:dyDescent="0.3">
      <c r="B30" s="27" t="s">
        <v>1</v>
      </c>
      <c r="C30" s="28" t="s">
        <v>102</v>
      </c>
      <c r="D30" s="28" t="s">
        <v>103</v>
      </c>
      <c r="E30" s="28" t="s">
        <v>105</v>
      </c>
      <c r="F30" s="4" t="s">
        <v>106</v>
      </c>
      <c r="G30" s="4" t="s">
        <v>107</v>
      </c>
      <c r="H30" s="4" t="s">
        <v>108</v>
      </c>
      <c r="I30" s="4" t="s">
        <v>109</v>
      </c>
      <c r="J30" s="4" t="s">
        <v>110</v>
      </c>
      <c r="K30" s="4" t="s">
        <v>111</v>
      </c>
      <c r="L30" s="4" t="s">
        <v>112</v>
      </c>
      <c r="M30" s="4" t="s">
        <v>113</v>
      </c>
      <c r="N30" s="4" t="s">
        <v>114</v>
      </c>
      <c r="O30" s="4" t="s">
        <v>115</v>
      </c>
      <c r="P30" s="4" t="s">
        <v>116</v>
      </c>
      <c r="Q30" s="4" t="s">
        <v>117</v>
      </c>
      <c r="R30" s="5" t="s">
        <v>118</v>
      </c>
    </row>
    <row r="31" spans="2:18" ht="15" thickBot="1" x14ac:dyDescent="0.35">
      <c r="B31" s="6" t="s">
        <v>101</v>
      </c>
      <c r="C31" s="7">
        <v>100</v>
      </c>
      <c r="D31" s="7" t="s">
        <v>104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8" t="s">
        <v>130</v>
      </c>
      <c r="C34" s="18"/>
      <c r="D34" s="18"/>
    </row>
    <row r="35" spans="2:14" x14ac:dyDescent="0.3">
      <c r="B35" t="s">
        <v>1</v>
      </c>
      <c r="C35" t="s">
        <v>6</v>
      </c>
      <c r="D35" t="s">
        <v>120</v>
      </c>
      <c r="E35" t="s">
        <v>121</v>
      </c>
      <c r="F35" t="s">
        <v>122</v>
      </c>
      <c r="G35" t="s">
        <v>57</v>
      </c>
      <c r="H35" t="s">
        <v>123</v>
      </c>
      <c r="I35" t="s">
        <v>124</v>
      </c>
      <c r="J35" t="s">
        <v>125</v>
      </c>
      <c r="K35" t="s">
        <v>126</v>
      </c>
      <c r="L35" t="s">
        <v>127</v>
      </c>
      <c r="M35" t="s">
        <v>128</v>
      </c>
      <c r="N35" t="s">
        <v>129</v>
      </c>
    </row>
    <row r="36" spans="2:14" x14ac:dyDescent="0.3">
      <c r="B36" t="b">
        <v>0</v>
      </c>
      <c r="C36" t="s">
        <v>131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F38"/>
  <sheetViews>
    <sheetView zoomScale="85" zoomScaleNormal="85" workbookViewId="0">
      <selection activeCell="C3" sqref="C3"/>
    </sheetView>
  </sheetViews>
  <sheetFormatPr defaultRowHeight="14.4" x14ac:dyDescent="0.3"/>
  <cols>
    <col min="1" max="1" width="4.88671875" customWidth="1"/>
    <col min="2" max="2" width="13.6640625" bestFit="1" customWidth="1"/>
    <col min="3" max="3" width="18.21875" bestFit="1" customWidth="1"/>
    <col min="5" max="5" width="14.109375" customWidth="1"/>
    <col min="11" max="11" width="20" customWidth="1"/>
    <col min="12" max="12" width="14.6640625" bestFit="1" customWidth="1"/>
    <col min="22" max="22" width="9.6640625" customWidth="1"/>
    <col min="84" max="84" width="10.77734375" customWidth="1"/>
  </cols>
  <sheetData>
    <row r="1" spans="2:6" x14ac:dyDescent="0.3">
      <c r="B1" s="35"/>
    </row>
    <row r="2" spans="2:6" x14ac:dyDescent="0.3">
      <c r="B2" s="1" t="s">
        <v>63</v>
      </c>
      <c r="C2" s="2" t="s">
        <v>25</v>
      </c>
    </row>
    <row r="3" spans="2:6" x14ac:dyDescent="0.3">
      <c r="B3" s="1" t="s">
        <v>64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132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132</v>
      </c>
      <c r="D8" s="22" t="s">
        <v>28</v>
      </c>
      <c r="E8" s="22">
        <v>9.9999000000000005E-2</v>
      </c>
      <c r="F8" s="23" t="s">
        <v>22</v>
      </c>
    </row>
    <row r="9" spans="2:6" x14ac:dyDescent="0.3">
      <c r="B9" s="21">
        <v>2</v>
      </c>
      <c r="C9" s="22" t="s">
        <v>132</v>
      </c>
      <c r="D9" s="22" t="s">
        <v>29</v>
      </c>
      <c r="E9" s="22">
        <v>9.3010209999999996E-2</v>
      </c>
      <c r="F9" s="23" t="s">
        <v>22</v>
      </c>
    </row>
    <row r="10" spans="2:6" x14ac:dyDescent="0.3">
      <c r="B10" s="21">
        <v>2</v>
      </c>
      <c r="C10" s="22" t="s">
        <v>132</v>
      </c>
      <c r="D10" s="22" t="s">
        <v>30</v>
      </c>
      <c r="E10" s="22">
        <v>9.6504604999999993E-2</v>
      </c>
      <c r="F10" s="23" t="s">
        <v>22</v>
      </c>
    </row>
    <row r="11" spans="2:6" x14ac:dyDescent="0.3">
      <c r="B11" s="21">
        <v>2</v>
      </c>
      <c r="C11" s="22" t="s">
        <v>132</v>
      </c>
      <c r="D11" s="22" t="s">
        <v>31</v>
      </c>
      <c r="E11" s="22">
        <v>284.69788614322698</v>
      </c>
      <c r="F11" s="23" t="s">
        <v>22</v>
      </c>
    </row>
    <row r="12" spans="2:6" x14ac:dyDescent="0.3">
      <c r="B12" s="21">
        <v>2</v>
      </c>
      <c r="C12" s="22" t="s">
        <v>132</v>
      </c>
      <c r="D12" s="22" t="s">
        <v>32</v>
      </c>
      <c r="E12" s="22">
        <v>2934.87185138</v>
      </c>
      <c r="F12" s="23" t="s">
        <v>22</v>
      </c>
    </row>
    <row r="13" spans="2:6" x14ac:dyDescent="0.3">
      <c r="B13" s="21">
        <v>2</v>
      </c>
      <c r="C13" s="22" t="s">
        <v>132</v>
      </c>
      <c r="D13" s="22" t="s">
        <v>33</v>
      </c>
      <c r="E13" s="22">
        <v>9.7617599999999999E-2</v>
      </c>
      <c r="F13" s="23" t="s">
        <v>22</v>
      </c>
    </row>
    <row r="14" spans="2:6" x14ac:dyDescent="0.3">
      <c r="B14" s="21">
        <v>2</v>
      </c>
      <c r="C14" s="22" t="s">
        <v>132</v>
      </c>
      <c r="D14" s="22" t="s">
        <v>34</v>
      </c>
      <c r="E14" s="22">
        <v>9.7509750000000006E-2</v>
      </c>
      <c r="F14" s="23" t="s">
        <v>22</v>
      </c>
    </row>
    <row r="15" spans="2:6" x14ac:dyDescent="0.3">
      <c r="B15" s="21">
        <v>2</v>
      </c>
      <c r="C15" s="22" t="s">
        <v>132</v>
      </c>
      <c r="D15" s="22" t="s">
        <v>35</v>
      </c>
      <c r="E15" s="22">
        <v>9.7725380000000001E-2</v>
      </c>
      <c r="F15" s="23" t="s">
        <v>22</v>
      </c>
    </row>
    <row r="16" spans="2:6" x14ac:dyDescent="0.3">
      <c r="B16" s="21">
        <v>2</v>
      </c>
      <c r="C16" s="22" t="s">
        <v>132</v>
      </c>
      <c r="D16" s="22" t="s">
        <v>36</v>
      </c>
      <c r="E16" s="22">
        <v>1515943312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133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133</v>
      </c>
      <c r="D18" s="22" t="s">
        <v>28</v>
      </c>
      <c r="E18" s="22">
        <v>4.8683E-4</v>
      </c>
      <c r="F18" s="23" t="s">
        <v>22</v>
      </c>
    </row>
    <row r="19" spans="2:12" x14ac:dyDescent="0.3">
      <c r="B19" s="21">
        <v>2</v>
      </c>
      <c r="C19" s="22" t="s">
        <v>133</v>
      </c>
      <c r="D19" s="22" t="s">
        <v>29</v>
      </c>
      <c r="E19" s="22">
        <v>3.6485000000000001E-4</v>
      </c>
      <c r="F19" s="23" t="s">
        <v>22</v>
      </c>
    </row>
    <row r="20" spans="2:12" x14ac:dyDescent="0.3">
      <c r="B20" s="21">
        <v>2</v>
      </c>
      <c r="C20" s="22" t="s">
        <v>133</v>
      </c>
      <c r="D20" s="22" t="s">
        <v>30</v>
      </c>
      <c r="E20" s="22">
        <v>4.2583999999999998E-4</v>
      </c>
      <c r="F20" s="23" t="s">
        <v>22</v>
      </c>
    </row>
    <row r="21" spans="2:12" x14ac:dyDescent="0.3">
      <c r="B21" s="21">
        <v>2</v>
      </c>
      <c r="C21" s="22" t="s">
        <v>133</v>
      </c>
      <c r="D21" s="22" t="s">
        <v>31</v>
      </c>
      <c r="E21" s="22">
        <v>21.699979709073698</v>
      </c>
      <c r="F21" s="23" t="s">
        <v>22</v>
      </c>
    </row>
    <row r="22" spans="2:12" x14ac:dyDescent="0.3">
      <c r="B22" s="21">
        <v>2</v>
      </c>
      <c r="C22" s="22" t="s">
        <v>133</v>
      </c>
      <c r="D22" s="22" t="s">
        <v>32</v>
      </c>
      <c r="E22" s="22">
        <v>52914.84811182</v>
      </c>
      <c r="F22" s="23" t="s">
        <v>22</v>
      </c>
    </row>
    <row r="23" spans="2:12" x14ac:dyDescent="0.3">
      <c r="B23" s="21">
        <v>2</v>
      </c>
      <c r="C23" s="22" t="s">
        <v>133</v>
      </c>
      <c r="D23" s="22" t="s">
        <v>33</v>
      </c>
      <c r="E23" s="22">
        <v>3.8959999999999998E-4</v>
      </c>
      <c r="F23" s="23" t="s">
        <v>22</v>
      </c>
    </row>
    <row r="24" spans="2:12" x14ac:dyDescent="0.3">
      <c r="B24" s="21">
        <v>2</v>
      </c>
      <c r="C24" s="22" t="s">
        <v>133</v>
      </c>
      <c r="D24" s="22" t="s">
        <v>34</v>
      </c>
      <c r="E24" s="22">
        <v>3.8787000000000001E-4</v>
      </c>
      <c r="F24" s="23" t="s">
        <v>22</v>
      </c>
    </row>
    <row r="25" spans="2:12" x14ac:dyDescent="0.3">
      <c r="B25" s="21">
        <v>2</v>
      </c>
      <c r="C25" s="22" t="s">
        <v>133</v>
      </c>
      <c r="D25" s="22" t="s">
        <v>35</v>
      </c>
      <c r="E25" s="22">
        <v>3.9127999999999998E-4</v>
      </c>
      <c r="F25" s="23" t="s">
        <v>22</v>
      </c>
    </row>
    <row r="26" spans="2:12" ht="15" thickBot="1" x14ac:dyDescent="0.35">
      <c r="B26" s="6">
        <v>2</v>
      </c>
      <c r="C26" s="7" t="s">
        <v>133</v>
      </c>
      <c r="D26" s="7" t="s">
        <v>36</v>
      </c>
      <c r="E26" s="7">
        <v>1515943312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132</v>
      </c>
      <c r="C31" s="22">
        <v>9.9999000000000005E-2</v>
      </c>
      <c r="D31" s="22">
        <v>9.3010209999999996E-2</v>
      </c>
      <c r="E31" s="22">
        <v>9.6504604999999993E-2</v>
      </c>
      <c r="F31" s="22">
        <v>284.69788614322698</v>
      </c>
      <c r="G31" s="22">
        <v>2934.87185138</v>
      </c>
      <c r="H31" s="22">
        <v>9.7617599999999999E-2</v>
      </c>
      <c r="I31" s="22">
        <v>9.7509750000000006E-2</v>
      </c>
      <c r="J31" s="22">
        <v>9.7725380000000001E-2</v>
      </c>
      <c r="K31" s="23">
        <v>1515943312</v>
      </c>
      <c r="L31" s="33">
        <f>UnixTimeToDate(K31)</f>
        <v>43114.640185185184</v>
      </c>
    </row>
    <row r="32" spans="2:12" ht="15" thickBot="1" x14ac:dyDescent="0.35">
      <c r="B32" s="6" t="s">
        <v>133</v>
      </c>
      <c r="C32" s="7">
        <v>4.8683E-4</v>
      </c>
      <c r="D32" s="7">
        <v>3.6485000000000001E-4</v>
      </c>
      <c r="E32" s="7">
        <v>4.2583999999999998E-4</v>
      </c>
      <c r="F32" s="7">
        <v>21.699979709073698</v>
      </c>
      <c r="G32" s="7">
        <v>52914.84811182</v>
      </c>
      <c r="H32" s="7">
        <v>3.8959999999999998E-4</v>
      </c>
      <c r="I32" s="7">
        <v>3.8787000000000001E-4</v>
      </c>
      <c r="J32" s="7">
        <v>3.9127999999999998E-4</v>
      </c>
      <c r="K32" s="8">
        <v>1515943312</v>
      </c>
      <c r="L32" s="34">
        <f>UnixTimeToDate(K32)</f>
        <v>43114.640185185184</v>
      </c>
    </row>
    <row r="35" spans="2:84" x14ac:dyDescent="0.3">
      <c r="B35" s="18" t="s">
        <v>216</v>
      </c>
      <c r="C35" s="19"/>
      <c r="D35" s="19"/>
    </row>
    <row r="36" spans="2:84" x14ac:dyDescent="0.3">
      <c r="B36" t="s">
        <v>1</v>
      </c>
      <c r="C36" t="s">
        <v>6</v>
      </c>
      <c r="D36" t="s">
        <v>134</v>
      </c>
      <c r="E36" t="s">
        <v>135</v>
      </c>
      <c r="F36" t="s">
        <v>136</v>
      </c>
      <c r="G36" t="s">
        <v>137</v>
      </c>
      <c r="H36" t="s">
        <v>138</v>
      </c>
      <c r="I36" t="s">
        <v>139</v>
      </c>
      <c r="J36" t="s">
        <v>140</v>
      </c>
      <c r="K36" t="s">
        <v>141</v>
      </c>
      <c r="L36" t="s">
        <v>142</v>
      </c>
      <c r="M36" t="s">
        <v>143</v>
      </c>
      <c r="N36" t="s">
        <v>144</v>
      </c>
      <c r="O36" t="s">
        <v>145</v>
      </c>
      <c r="P36" t="s">
        <v>146</v>
      </c>
      <c r="Q36" t="s">
        <v>147</v>
      </c>
      <c r="R36" t="s">
        <v>148</v>
      </c>
      <c r="S36" t="s">
        <v>149</v>
      </c>
      <c r="T36" t="s">
        <v>150</v>
      </c>
      <c r="U36" t="s">
        <v>151</v>
      </c>
      <c r="V36" t="s">
        <v>152</v>
      </c>
      <c r="W36" t="s">
        <v>153</v>
      </c>
      <c r="X36" t="s">
        <v>154</v>
      </c>
      <c r="Y36" t="s">
        <v>155</v>
      </c>
      <c r="Z36" t="s">
        <v>8</v>
      </c>
      <c r="AA36" t="s">
        <v>156</v>
      </c>
      <c r="AB36" t="s">
        <v>157</v>
      </c>
      <c r="AC36" t="s">
        <v>158</v>
      </c>
      <c r="AD36" t="s">
        <v>159</v>
      </c>
      <c r="AE36" t="s">
        <v>160</v>
      </c>
      <c r="AF36" t="s">
        <v>161</v>
      </c>
      <c r="AG36" t="s">
        <v>162</v>
      </c>
      <c r="AH36" t="s">
        <v>163</v>
      </c>
      <c r="AI36" t="s">
        <v>164</v>
      </c>
      <c r="AJ36" t="s">
        <v>165</v>
      </c>
      <c r="AK36" t="s">
        <v>166</v>
      </c>
      <c r="AL36" t="s">
        <v>167</v>
      </c>
      <c r="AM36" t="s">
        <v>168</v>
      </c>
      <c r="AN36" t="s">
        <v>169</v>
      </c>
      <c r="AO36" t="s">
        <v>170</v>
      </c>
      <c r="AP36" t="s">
        <v>171</v>
      </c>
      <c r="AQ36" t="s">
        <v>172</v>
      </c>
      <c r="AR36" t="s">
        <v>173</v>
      </c>
      <c r="AS36" t="s">
        <v>174</v>
      </c>
      <c r="AT36" t="s">
        <v>175</v>
      </c>
      <c r="AU36" t="s">
        <v>176</v>
      </c>
      <c r="AV36" t="s">
        <v>177</v>
      </c>
      <c r="AW36" t="s">
        <v>178</v>
      </c>
      <c r="AX36" t="s">
        <v>179</v>
      </c>
      <c r="AY36" t="s">
        <v>180</v>
      </c>
      <c r="AZ36" t="s">
        <v>181</v>
      </c>
      <c r="BA36" t="s">
        <v>182</v>
      </c>
      <c r="BB36" t="s">
        <v>183</v>
      </c>
      <c r="BC36" t="s">
        <v>184</v>
      </c>
      <c r="BD36" t="s">
        <v>185</v>
      </c>
      <c r="BE36" t="s">
        <v>186</v>
      </c>
      <c r="BF36" t="s">
        <v>187</v>
      </c>
      <c r="BG36" t="s">
        <v>188</v>
      </c>
      <c r="BH36" t="s">
        <v>189</v>
      </c>
      <c r="BI36" t="s">
        <v>190</v>
      </c>
      <c r="BJ36" t="s">
        <v>191</v>
      </c>
      <c r="BK36" t="s">
        <v>192</v>
      </c>
      <c r="BL36" t="s">
        <v>193</v>
      </c>
      <c r="BM36" t="s">
        <v>194</v>
      </c>
      <c r="BN36" t="s">
        <v>195</v>
      </c>
      <c r="BO36" t="s">
        <v>196</v>
      </c>
      <c r="BP36" t="s">
        <v>197</v>
      </c>
      <c r="BQ36" t="s">
        <v>198</v>
      </c>
      <c r="BR36" t="s">
        <v>199</v>
      </c>
      <c r="BS36" t="s">
        <v>200</v>
      </c>
      <c r="BT36" t="s">
        <v>201</v>
      </c>
      <c r="BU36" t="s">
        <v>202</v>
      </c>
      <c r="BV36" t="s">
        <v>203</v>
      </c>
      <c r="BW36" t="s">
        <v>204</v>
      </c>
      <c r="BX36" t="s">
        <v>205</v>
      </c>
      <c r="BY36" t="s">
        <v>206</v>
      </c>
      <c r="BZ36" t="s">
        <v>207</v>
      </c>
      <c r="CA36" t="s">
        <v>208</v>
      </c>
      <c r="CB36" t="s">
        <v>209</v>
      </c>
      <c r="CC36" t="s">
        <v>210</v>
      </c>
      <c r="CD36" t="s">
        <v>211</v>
      </c>
      <c r="CE36" t="s">
        <v>212</v>
      </c>
      <c r="CF36" t="s">
        <v>213</v>
      </c>
    </row>
    <row r="37" spans="2:84" x14ac:dyDescent="0.3">
      <c r="B37" t="s">
        <v>39</v>
      </c>
      <c r="C37" t="s">
        <v>214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500</v>
      </c>
      <c r="BY37">
        <v>0</v>
      </c>
      <c r="BZ37">
        <v>0</v>
      </c>
      <c r="CA37">
        <v>0</v>
      </c>
      <c r="CB37">
        <v>0</v>
      </c>
      <c r="CC37">
        <v>0</v>
      </c>
    </row>
    <row r="38" spans="2:84" x14ac:dyDescent="0.3">
      <c r="B38" t="s">
        <v>39</v>
      </c>
      <c r="C38" t="s">
        <v>215</v>
      </c>
      <c r="D38">
        <v>0</v>
      </c>
      <c r="CD38" t="b">
        <v>1</v>
      </c>
      <c r="CE38" t="b">
        <v>1</v>
      </c>
      <c r="CF38" t="b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D20" sqref="D20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5"/>
    </row>
    <row r="2" spans="2:3" x14ac:dyDescent="0.3">
      <c r="B2" s="1" t="s">
        <v>67</v>
      </c>
      <c r="C2" s="2" t="s">
        <v>25</v>
      </c>
    </row>
    <row r="3" spans="2:3" x14ac:dyDescent="0.3">
      <c r="B3" s="1" t="s">
        <v>68</v>
      </c>
      <c r="C3" s="2" t="s">
        <v>26</v>
      </c>
    </row>
    <row r="5" spans="2:3" x14ac:dyDescent="0.3">
      <c r="C5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11</vt:i4>
      </vt:variant>
      <vt:variant>
        <vt:lpstr>Benoemde bereiken</vt:lpstr>
      </vt:variant>
      <vt:variant>
        <vt:i4>20</vt:i4>
      </vt:variant>
    </vt:vector>
  </HeadingPairs>
  <TitlesOfParts>
    <vt:vector size="31" baseType="lpstr">
      <vt:lpstr>FORMULAS</vt:lpstr>
      <vt:lpstr>RATES_MACRO</vt:lpstr>
      <vt:lpstr>KRAKEN</vt:lpstr>
      <vt:lpstr>Bittrex</vt:lpstr>
      <vt:lpstr>Binance</vt:lpstr>
      <vt:lpstr>Poloniex</vt:lpstr>
      <vt:lpstr>WEXnz</vt:lpstr>
      <vt:lpstr>Kucoin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apikey_kucoin</vt:lpstr>
      <vt:lpstr>apikey_liqui</vt:lpstr>
      <vt:lpstr>apikey_poloniex</vt:lpstr>
      <vt:lpstr>apikey_wexnz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secretkey_kucoin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2018-10-01T14:58:27Z</dcterms:modified>
</cp:coreProperties>
</file>