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jns\documents\github\crypto_vba\"/>
    </mc:Choice>
  </mc:AlternateContent>
  <xr:revisionPtr revIDLastSave="0" documentId="13_ncr:1_{EDB35411-7110-40C5-B9FA-EB628098F484}" xr6:coauthVersionLast="47" xr6:coauthVersionMax="47" xr10:uidLastSave="{00000000-0000-0000-0000-000000000000}"/>
  <bookViews>
    <workbookView xWindow="-108" yWindow="-108" windowWidth="23256" windowHeight="12576" tabRatio="669" activeTab="5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Vavo" sheetId="21" r:id="rId6"/>
    <sheet name="Bittrex" sheetId="3" r:id="rId7"/>
    <sheet name="Bybit" sheetId="19" r:id="rId8"/>
    <sheet name="Coinbase" sheetId="16" r:id="rId9"/>
    <sheet name="CoinbasePro" sheetId="17" r:id="rId10"/>
    <sheet name="Coinone" sheetId="6" r:id="rId11"/>
    <sheet name="Coinspot" sheetId="13" r:id="rId12"/>
    <sheet name="HitBTC" sheetId="14" r:id="rId13"/>
    <sheet name="Huobi" sheetId="20" r:id="rId14"/>
    <sheet name="Kraken" sheetId="1" r:id="rId15"/>
    <sheet name="Kucoin" sheetId="10" r:id="rId16"/>
    <sheet name="OKEx" sheetId="18" r:id="rId17"/>
    <sheet name="Poloniex" sheetId="4" r:id="rId18"/>
  </sheets>
  <functionGroups builtInGroupCount="19"/>
  <externalReferences>
    <externalReference r:id="rId19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itvavo" localSheetId="5">BitVavo!$C$6</definedName>
    <definedName name="apikey_btce" localSheetId="9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huobi">Huobi!$C$6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9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itvavo" localSheetId="5">BitVavo!$C$7</definedName>
    <definedName name="secretkey_btce" localSheetId="9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 localSheetId="5">#REF!</definedName>
    <definedName name="secretkey_cryptopia">#REF!</definedName>
    <definedName name="secretkey_hitbtc">HitBTC!$C$7</definedName>
    <definedName name="secretkey_huobi">Huobi!$C$7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9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8" l="1"/>
  <c r="D29" i="9"/>
  <c r="D18" i="9"/>
  <c r="D16" i="9"/>
  <c r="D30" i="9"/>
  <c r="D41" i="9"/>
  <c r="D59" i="9" a="1"/>
  <c r="F25" i="8"/>
  <c r="D17" i="9"/>
  <c r="D42" i="9"/>
  <c r="D72" i="9" a="1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<sst xmlns="http://schemas.openxmlformats.org/spreadsheetml/2006/main" count="2666" uniqueCount="1290">
  <si>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</si>
  <si>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</si>
  <si>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</si>
  <si>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</si>
  <si>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</si>
  <si>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</si>
  <si>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</si>
  <si>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</si>
  <si>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</si>
  <si>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</si>
  <si>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</si>
  <si>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</si>
  <si>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</si>
  <si>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</si>
  <si>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</si>
  <si>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</si>
  <si>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</si>
  <si>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</si>
  <si>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</si>
  <si>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</si>
  <si>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</si>
  <si>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</si>
  <si>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</si>
  <si>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</si>
  <si>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</si>
  <si>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</si>
  <si>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</si>
  <si>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</si>
  <si>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</si>
  <si>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</si>
  <si>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</si>
  <si>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</si>
  <si>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</si>
  <si>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BTC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</si>
  <si>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</si>
  <si>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</si>
  <si>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</si>
  <si>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</si>
  <si>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</si>
  <si>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</si>
  <si>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</si>
  <si>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</si>
  <si>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</si>
  <si>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</si>
  <si>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</si>
  <si>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</si>
  <si>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</si>
  <si>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</si>
  <si>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</si>
  <si>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</si>
  <si>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</si>
  <si>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</si>
  <si>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</si>
  <si>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</si>
  <si>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</si>
  <si>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</si>
  <si>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</si>
  <si>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</si>
  <si>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</si>
  <si>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</si>
  <si>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</si>
  <si>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</si>
  <si>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</si>
  <si>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</si>
  <si>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</si>
  <si>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</si>
  <si>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</si>
  <si>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</si>
  <si>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</si>
  <si>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</si>
  <si>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</si>
  <si>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</si>
  <si>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</si>
  <si>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</si>
  <si>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</si>
  <si>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</si>
  <si>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</si>
  <si>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</si>
  <si>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</si>
  <si>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</si>
  <si>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</si>
  <si>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</si>
  <si>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</si>
  <si>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</si>
  <si>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</si>
  <si>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</si>
  <si>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</si>
  <si>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</si>
  <si>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</si>
  <si>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</si>
  <si>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</si>
  <si>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</si>
  <si>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</si>
  <si>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</si>
  <si>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</si>
  <si>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</si>
  <si>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</si>
  <si>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</si>
  <si>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</si>
  <si>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</si>
  <si>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</si>
  <si>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</si>
  <si>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</si>
  <si>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</si>
  <si>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</si>
  <si>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</si>
  <si>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</si>
  <si>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</si>
  <si>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</si>
  <si>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</si>
  <si>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</si>
  <si>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</si>
  <si>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</si>
  <si>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</si>
  <si>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</si>
  <si>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</si>
  <si>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</si>
  <si>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</si>
  <si>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</si>
  <si>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</si>
  <si>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</si>
  <si>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</si>
  <si>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</si>
  <si>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</si>
  <si>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</si>
  <si>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</si>
  <si>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</si>
  <si>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</si>
  <si>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</si>
  <si>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</si>
  <si>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</si>
  <si>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</si>
  <si>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</si>
  <si>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</si>
  <si>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</si>
  <si>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</si>
  <si>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</si>
  <si>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</si>
  <si>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</si>
  <si>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</si>
  <si>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</si>
  <si>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</si>
  <si>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</si>
  <si>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</si>
  <si>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</si>
  <si>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</si>
  <si>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</si>
  <si>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</si>
  <si>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</si>
  <si>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</si>
  <si>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</si>
  <si>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</si>
  <si>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</si>
  <si>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</si>
  <si>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</si>
  <si>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</si>
  <si>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</si>
  <si>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</si>
  <si>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</si>
  <si>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</si>
  <si>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</si>
  <si>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</si>
  <si>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</si>
  <si>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</si>
  <si>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</si>
  <si>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</si>
  <si>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</si>
  <si>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</si>
  <si>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</si>
  <si>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</si>
  <si>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</si>
  <si>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</si>
  <si>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</si>
  <si>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</si>
  <si>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</si>
  <si>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</si>
  <si>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</si>
  <si>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</si>
  <si>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</si>
  <si>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</si>
  <si>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</si>
  <si>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</si>
  <si>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</si>
  <si>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</si>
  <si>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</si>
  <si>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</si>
  <si>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</si>
  <si>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</si>
  <si>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</si>
  <si>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</si>
  <si>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</si>
  <si>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</si>
  <si>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</si>
  <si>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</si>
  <si>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</si>
  <si>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</si>
  <si>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</si>
  <si>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</si>
  <si>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</si>
  <si>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</si>
  <si>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</si>
  <si>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</si>
  <si>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</si>
  <si>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</si>
  <si>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</si>
  <si>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</si>
  <si>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</si>
  <si>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</si>
  <si>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</si>
  <si>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</si>
  <si>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</si>
  <si>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</si>
  <si>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</si>
  <si>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</si>
  <si>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</si>
  <si>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</si>
  <si>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</si>
  <si>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</si>
  <si>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</si>
  <si>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</si>
  <si>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</si>
  <si>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</si>
  <si>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</si>
  <si>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</si>
  <si>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</si>
  <si>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</si>
  <si>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</si>
  <si>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</si>
  <si>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</si>
  <si>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</si>
  <si>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</si>
  <si>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</si>
  <si>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</si>
  <si>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</si>
  <si>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</si>
  <si>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</si>
  <si>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</si>
  <si>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</si>
  <si>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</si>
  <si>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</si>
  <si>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</si>
  <si>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</si>
  <si>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</si>
  <si>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</si>
  <si>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</si>
  <si>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</si>
  <si>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</si>
  <si>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</si>
  <si>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</si>
  <si>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</si>
  <si>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</si>
  <si>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</si>
  <si>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</si>
  <si>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</si>
  <si>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</si>
  <si>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</si>
  <si>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</si>
  <si>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</si>
  <si>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</si>
  <si>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</si>
  <si>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</si>
  <si>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</si>
  <si>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</si>
  <si>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</si>
  <si>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</si>
  <si>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</si>
  <si>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</si>
  <si>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</si>
  <si>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</si>
  <si>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</si>
  <si>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</si>
  <si>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</si>
  <si>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</si>
  <si>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</si>
  <si>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</si>
  <si>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</si>
  <si>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</si>
  <si>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</si>
  <si>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</si>
  <si>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</si>
  <si>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</si>
  <si>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</si>
  <si>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</si>
  <si>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</si>
  <si>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</si>
  <si>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</si>
  <si>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</si>
  <si>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</si>
  <si>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</si>
  <si>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</si>
  <si>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</si>
  <si>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</si>
  <si>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</si>
  <si>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</si>
  <si>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</si>
  <si>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</si>
  <si>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</si>
  <si>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</si>
  <si>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</si>
  <si>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</si>
  <si>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</si>
  <si>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</si>
  <si>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</si>
  <si>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</si>
  <si>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</si>
  <si>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</si>
  <si>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</si>
  <si>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</si>
  <si>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</si>
  <si>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</si>
  <si>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</si>
  <si>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</si>
  <si>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</si>
  <si>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</si>
  <si>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</si>
  <si>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</si>
  <si>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</si>
  <si>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</si>
  <si>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</si>
  <si>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</si>
  <si>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</si>
  <si>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</si>
  <si>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</si>
  <si>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</si>
  <si>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</si>
  <si>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</si>
  <si>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</si>
  <si>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</si>
  <si>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</si>
  <si>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</si>
  <si>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</si>
  <si>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</si>
  <si>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</si>
  <si>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</si>
  <si>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</si>
  <si>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</si>
  <si>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</si>
  <si>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</si>
  <si>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</si>
  <si>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</si>
  <si>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</si>
  <si>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</si>
  <si>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</si>
  <si>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</si>
  <si>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</si>
  <si>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</si>
  <si>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</si>
  <si>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</si>
  <si>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</si>
  <si>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</si>
  <si>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</si>
  <si>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</si>
  <si>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BCH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</si>
  <si>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</si>
  <si>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</si>
  <si>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</si>
  <si>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</si>
  <si>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</si>
  <si>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</si>
  <si>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</si>
  <si>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</si>
  <si>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</si>
  <si>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</si>
  <si>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</si>
  <si>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</si>
  <si>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</si>
  <si>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</si>
  <si>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</si>
  <si>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</si>
  <si>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</si>
  <si>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</si>
  <si>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</si>
  <si>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</si>
  <si>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</si>
  <si>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</si>
  <si>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</si>
  <si>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</si>
  <si>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</si>
  <si>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</si>
  <si>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</si>
  <si>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</si>
  <si>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</si>
  <si>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</si>
  <si>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</si>
  <si>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</si>
  <si>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</si>
  <si>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</si>
  <si>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</si>
  <si>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</si>
  <si>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</si>
  <si>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</si>
  <si>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</si>
  <si>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</si>
  <si>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</si>
  <si>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</si>
  <si>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</si>
  <si>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</si>
  <si>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</si>
  <si>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</si>
  <si>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</si>
  <si>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</si>
  <si>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</si>
  <si>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</si>
  <si>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</si>
  <si>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</si>
  <si>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</si>
  <si>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</si>
  <si>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</si>
  <si>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</si>
  <si>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</si>
  <si>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</si>
  <si>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</si>
  <si>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</si>
  <si>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</si>
  <si>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</si>
  <si>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</si>
  <si>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</si>
  <si>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</si>
  <si>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</si>
  <si>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</si>
  <si>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</si>
  <si>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</si>
  <si>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</si>
  <si>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</si>
  <si>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</si>
  <si>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</si>
  <si>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</si>
  <si>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</si>
  <si>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</si>
  <si>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</si>
  <si>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</si>
  <si>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</si>
  <si>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</si>
  <si>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</si>
  <si>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</si>
  <si>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</si>
  <si>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</si>
  <si>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</si>
  <si>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</si>
  <si>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</si>
  <si>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</si>
  <si>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</si>
  <si>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</si>
  <si>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</si>
  <si>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</si>
  <si>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</si>
  <si>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</si>
  <si>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</si>
  <si>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</si>
  <si>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</si>
  <si>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</si>
  <si>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</si>
  <si>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</si>
  <si>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</si>
  <si>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</si>
  <si>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</si>
  <si>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</si>
  <si>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</si>
  <si>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</si>
  <si>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</si>
  <si>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</si>
  <si>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</si>
  <si>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</si>
  <si>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</si>
  <si>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</si>
  <si>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</si>
  <si>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</si>
  <si>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</si>
  <si>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</si>
  <si>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</si>
  <si>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</si>
  <si>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</si>
  <si>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</si>
  <si>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</si>
  <si>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</si>
  <si>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</si>
  <si>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</si>
  <si>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</si>
  <si>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</si>
  <si>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</si>
  <si>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</si>
  <si>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</si>
  <si>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</si>
  <si>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</si>
  <si>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</si>
  <si>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</si>
  <si>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</si>
  <si>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</si>
  <si>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</si>
  <si>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</si>
  <si>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</si>
  <si>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</si>
  <si>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</si>
  <si>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</si>
  <si>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</si>
  <si>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</si>
  <si>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</si>
  <si>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</si>
  <si>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</si>
  <si>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</si>
  <si>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</si>
  <si>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</si>
  <si>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</si>
  <si>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</si>
  <si>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</si>
  <si>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</si>
  <si>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</si>
  <si>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</si>
  <si>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</si>
  <si>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</si>
  <si>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</si>
  <si>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</si>
  <si>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</si>
  <si>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</si>
  <si>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</si>
  <si>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</si>
  <si>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</si>
  <si>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</si>
  <si>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</si>
  <si>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</si>
  <si>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</si>
  <si>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</si>
  <si>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</si>
  <si>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</si>
  <si>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</si>
  <si>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</si>
  <si>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</si>
  <si>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</si>
  <si>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</si>
  <si>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</si>
  <si>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</si>
  <si>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</si>
  <si>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</si>
  <si>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</si>
  <si>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</si>
  <si>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</si>
  <si>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</si>
  <si>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</si>
  <si>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</si>
  <si>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</si>
  <si>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</si>
  <si>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</si>
  <si>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</si>
  <si>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</si>
  <si>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</si>
  <si>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</si>
  <si>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</si>
  <si>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</si>
  <si>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</si>
  <si>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</si>
  <si>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</si>
  <si>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</si>
  <si>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</si>
  <si>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</si>
  <si>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</si>
  <si>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</si>
  <si>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</si>
  <si>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</si>
  <si>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</si>
  <si>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</si>
  <si>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</si>
  <si>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</si>
  <si>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</si>
  <si>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</si>
  <si>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</si>
  <si>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</si>
  <si>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</si>
  <si>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</si>
  <si>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</si>
  <si>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</si>
  <si>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</si>
  <si>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</si>
  <si>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</si>
  <si>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</si>
  <si>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</si>
  <si>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</si>
  <si>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</si>
  <si>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</si>
  <si>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</si>
  <si>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</si>
  <si>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</si>
  <si>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</si>
  <si>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</si>
  <si>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</si>
  <si>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</si>
  <si>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</si>
  <si>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</si>
  <si>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</si>
  <si>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</si>
  <si>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</si>
  <si>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</si>
  <si>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</si>
  <si>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</si>
  <si>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</si>
  <si>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</si>
  <si>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</si>
  <si>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</si>
  <si>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</si>
  <si>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</si>
  <si>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</si>
  <si>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</si>
  <si>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</si>
  <si>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</si>
  <si>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</si>
  <si>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</si>
  <si>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</si>
  <si>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</si>
  <si>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</si>
  <si>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</si>
  <si>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</si>
  <si>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</si>
  <si>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</si>
  <si>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</si>
  <si>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</si>
  <si>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</si>
  <si>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</si>
  <si>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</si>
  <si>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</si>
  <si>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</si>
  <si>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</si>
  <si>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</si>
  <si>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</si>
  <si>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</si>
  <si>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</si>
  <si>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</si>
  <si>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</si>
  <si>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</si>
  <si>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</si>
  <si>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</si>
  <si>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</si>
  <si>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</si>
  <si>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</si>
  <si>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</si>
  <si>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</si>
  <si>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</si>
  <si>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</si>
  <si>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</si>
  <si>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</si>
  <si>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</si>
  <si>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</si>
  <si>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</si>
  <si>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</si>
  <si>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</si>
  <si>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</si>
  <si>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</si>
  <si>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</si>
  <si>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</si>
  <si>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</si>
  <si>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</si>
  <si>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</si>
  <si>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</si>
  <si>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</si>
  <si>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</si>
  <si>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</si>
  <si>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</si>
  <si>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</si>
  <si>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</si>
  <si>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</si>
  <si>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</si>
  <si>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</si>
  <si>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</si>
  <si>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</si>
  <si>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</si>
  <si>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</si>
  <si>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</si>
  <si>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</si>
  <si>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</si>
  <si>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</si>
  <si>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</si>
  <si>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</si>
  <si>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</si>
  <si>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</si>
  <si>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</si>
  <si>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</si>
  <si>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</si>
  <si>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</si>
  <si>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</si>
  <si>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</si>
  <si>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</si>
  <si>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</si>
  <si>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</si>
  <si>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</si>
  <si>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</si>
  <si>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</si>
  <si>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</si>
  <si>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</si>
  <si>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</si>
  <si>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</si>
  <si>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</si>
  <si>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</si>
  <si>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</si>
  <si>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</si>
  <si>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</si>
  <si>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</si>
  <si>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</si>
  <si>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</si>
  <si>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</si>
  <si>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</si>
  <si>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</si>
  <si>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</si>
  <si>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</si>
  <si>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</si>
  <si>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</si>
  <si>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</si>
  <si>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</si>
  <si>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</si>
  <si>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</si>
  <si>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</si>
  <si>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</si>
  <si>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</si>
  <si>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</si>
  <si>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</si>
  <si>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</si>
  <si>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</si>
  <si>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</si>
  <si>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</si>
  <si>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</si>
  <si>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</si>
  <si>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</si>
  <si>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</si>
  <si>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</si>
  <si>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</si>
  <si>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</si>
  <si>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</si>
  <si>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</si>
  <si>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</si>
  <si>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</si>
  <si>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</si>
  <si>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</si>
  <si>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</si>
  <si>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</si>
  <si>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</si>
  <si>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</si>
  <si>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</si>
  <si>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</si>
  <si>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</si>
  <si>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</si>
  <si>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</si>
  <si>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</si>
  <si>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</si>
  <si>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</si>
  <si>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</si>
  <si>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</si>
  <si>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</si>
  <si>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</si>
  <si>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</si>
  <si>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</si>
  <si>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</si>
  <si>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</si>
  <si>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</si>
  <si>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</si>
  <si>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</si>
  <si>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</si>
  <si>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</si>
  <si>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</si>
  <si>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</si>
  <si>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</si>
  <si>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</si>
  <si>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</si>
  <si>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</si>
  <si>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</si>
  <si>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</si>
  <si>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</si>
  <si>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</si>
  <si>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</si>
  <si>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</si>
  <si>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</si>
  <si>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</si>
  <si>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</si>
  <si>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</si>
  <si>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</si>
  <si>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</si>
  <si>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</si>
  <si>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</si>
  <si>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</si>
  <si>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</si>
  <si>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</si>
  <si>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</si>
  <si>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</si>
  <si>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</si>
  <si>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</si>
  <si>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</si>
  <si>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</si>
  <si>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</si>
  <si>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</si>
  <si>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</si>
  <si>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</si>
  <si>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</si>
  <si>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</si>
  <si>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</si>
  <si>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</si>
  <si>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</si>
  <si>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</si>
  <si>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</si>
  <si>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</si>
  <si>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</si>
  <si>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</si>
  <si>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</si>
  <si>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</si>
  <si>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</si>
  <si>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</si>
  <si>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</si>
  <si>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</si>
  <si>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</si>
  <si>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</si>
  <si>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</si>
  <si>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</si>
  <si>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</si>
  <si>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</si>
  <si>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</si>
  <si>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</si>
  <si>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</si>
  <si>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</si>
  <si>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</si>
  <si>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</si>
  <si>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</si>
  <si>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</si>
  <si>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</si>
  <si>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</si>
  <si>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</si>
  <si>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</si>
  <si>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</si>
  <si>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</si>
  <si>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</si>
  <si>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</si>
  <si>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</si>
  <si>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</si>
  <si>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</si>
  <si>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</si>
  <si>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</si>
  <si>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</si>
  <si>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</si>
  <si>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</si>
  <si>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</si>
  <si>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</si>
  <si>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</si>
  <si>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</si>
  <si>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</si>
  <si>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</si>
  <si>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</si>
  <si>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</si>
  <si>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</si>
  <si>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</si>
  <si>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</si>
  <si>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</si>
  <si>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</si>
  <si>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</si>
  <si>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</si>
  <si>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</si>
  <si>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</si>
  <si>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</si>
  <si>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</si>
  <si>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</si>
  <si>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</si>
  <si>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</si>
  <si>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</si>
  <si>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</si>
  <si>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</si>
  <si>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</si>
  <si>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</si>
  <si>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</si>
  <si>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</si>
  <si>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</si>
  <si>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</si>
  <si>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</si>
  <si>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</si>
  <si>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</si>
  <si>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</si>
  <si>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</si>
  <si>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</si>
  <si>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</si>
  <si>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</si>
  <si>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</si>
  <si>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</si>
  <si>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</si>
  <si>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</si>
  <si>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</si>
  <si>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</si>
  <si>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</si>
  <si>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</si>
  <si>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</si>
  <si>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</si>
  <si>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</si>
  <si>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</si>
  <si>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</si>
  <si>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</si>
  <si>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</si>
  <si>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</si>
  <si>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</si>
  <si>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</si>
  <si>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</si>
  <si>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</si>
  <si>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</si>
  <si>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</si>
  <si>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</si>
  <si>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</si>
  <si>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</si>
  <si>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</si>
  <si>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</si>
  <si>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</si>
  <si>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</si>
  <si>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</si>
  <si>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</si>
  <si>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</si>
  <si>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</si>
  <si>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</si>
  <si>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</si>
  <si>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</si>
  <si>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</si>
  <si>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</si>
  <si>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</si>
  <si>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</si>
  <si>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</si>
  <si>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</si>
  <si>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</si>
  <si>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</si>
  <si>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</si>
  <si>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</si>
  <si>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</si>
  <si>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</si>
  <si>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</si>
  <si>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</si>
  <si>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</si>
  <si>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</si>
  <si>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</si>
  <si>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</si>
  <si>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</si>
  <si>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</si>
  <si>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</si>
  <si>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</si>
  <si>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</si>
  <si>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</si>
  <si>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</si>
  <si>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</si>
  <si>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</si>
  <si>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</si>
  <si>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</si>
  <si>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</si>
  <si>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</si>
  <si>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</si>
  <si>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</si>
  <si>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</si>
  <si>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</si>
  <si>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</si>
  <si>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</si>
  <si>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</si>
  <si>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</si>
  <si>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</si>
  <si>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</si>
  <si>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</si>
  <si>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</si>
  <si>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</si>
  <si>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</si>
  <si>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</si>
  <si>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</si>
  <si>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</si>
  <si>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</si>
  <si>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</si>
  <si>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</si>
  <si>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</si>
  <si>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</si>
  <si>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</si>
  <si>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</si>
  <si>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</si>
  <si>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</si>
  <si>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</si>
  <si>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</si>
  <si>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</si>
  <si>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</si>
  <si>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</si>
  <si>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</si>
  <si>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</si>
  <si>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</si>
  <si>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</si>
  <si>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</si>
  <si>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</si>
  <si>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</si>
  <si>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</si>
  <si>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</si>
  <si>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</si>
  <si>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</si>
  <si>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</si>
  <si>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</si>
  <si>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</si>
  <si>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</si>
  <si>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</si>
  <si>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</si>
  <si>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</si>
  <si>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</si>
  <si>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</si>
  <si>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</si>
  <si>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</si>
  <si>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</si>
  <si>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</si>
  <si>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</si>
  <si>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</si>
  <si>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</si>
  <si>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</si>
  <si>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</si>
  <si>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</si>
  <si>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</si>
  <si>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</si>
  <si>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</si>
  <si>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</si>
  <si>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</si>
  <si>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</si>
  <si>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</si>
  <si>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</si>
  <si>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</si>
  <si>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</si>
  <si>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</si>
  <si>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</si>
  <si>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</si>
  <si>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</si>
  <si>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</si>
  <si>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</si>
  <si>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</si>
  <si>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</si>
  <si>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</si>
  <si>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</si>
  <si>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</si>
  <si>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</si>
  <si>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</si>
  <si>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</si>
  <si>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</si>
  <si>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</si>
  <si>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</si>
  <si>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</si>
  <si>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</si>
  <si>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</si>
  <si>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</si>
  <si>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</si>
  <si>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</si>
  <si>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</si>
  <si>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</si>
  <si>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</si>
  <si>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</si>
  <si>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</si>
  <si>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</si>
  <si>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</si>
  <si>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</si>
  <si>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</si>
  <si>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</si>
  <si>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</si>
  <si>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</si>
  <si>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</si>
  <si>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</si>
  <si>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</si>
  <si>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</si>
  <si>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</si>
  <si>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</si>
  <si>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</si>
  <si>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</si>
  <si>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</si>
  <si>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</si>
  <si>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</si>
  <si>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</si>
  <si>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</si>
  <si>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</si>
  <si>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</si>
  <si>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</si>
  <si>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</si>
  <si>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</si>
  <si>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</si>
  <si>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</si>
  <si>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</si>
  <si>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</si>
  <si>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</si>
  <si>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</si>
  <si>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</si>
  <si>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</si>
  <si>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</si>
  <si>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</si>
  <si>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</si>
  <si>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</si>
  <si>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</si>
  <si>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</si>
  <si>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</si>
  <si>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</si>
  <si>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</si>
  <si>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</si>
  <si>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</si>
  <si>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</si>
  <si>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</si>
  <si>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</si>
  <si>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</si>
  <si>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</si>
  <si>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</si>
  <si>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</si>
  <si>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</si>
  <si>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</si>
  <si>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</si>
  <si>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</si>
  <si>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</si>
  <si>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</si>
  <si>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</si>
  <si>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</si>
  <si>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</si>
  <si>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</si>
  <si>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</si>
  <si>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</si>
  <si>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</si>
  <si>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</si>
  <si>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</si>
  <si>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</si>
  <si>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</si>
  <si>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</si>
  <si>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</si>
  <si>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</si>
  <si>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</si>
  <si>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</si>
  <si>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</si>
  <si>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</si>
  <si>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</si>
  <si>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</si>
  <si>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</si>
  <si>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</si>
  <si>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</si>
  <si>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</si>
  <si>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</si>
  <si>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</si>
  <si>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</si>
  <si>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</si>
  <si>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</si>
  <si>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</si>
  <si>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</si>
  <si>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</si>
  <si>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</si>
  <si>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</si>
  <si>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</si>
  <si>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</si>
  <si>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</si>
  <si>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</si>
  <si>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</si>
  <si>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</si>
  <si>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</si>
  <si>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</si>
  <si>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</si>
  <si>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</si>
  <si>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</si>
  <si>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</si>
  <si>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</si>
  <si>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</si>
  <si>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</si>
  <si>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</si>
  <si>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</si>
  <si>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</si>
  <si>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</si>
  <si>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</si>
  <si>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</si>
  <si>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</si>
  <si>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</si>
  <si>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</si>
  <si>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</si>
  <si>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</si>
  <si>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</si>
  <si>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</si>
  <si>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</si>
  <si>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</si>
  <si>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</si>
  <si>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</si>
  <si>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</si>
  <si>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</si>
  <si>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</si>
  <si>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</si>
  <si>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</si>
  <si>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</si>
  <si>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</si>
  <si>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</si>
  <si>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</si>
  <si>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</si>
  <si>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</si>
  <si>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</si>
  <si>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</si>
  <si>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</si>
  <si>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</si>
  <si>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</si>
  <si>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</si>
  <si>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</si>
  <si>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</si>
  <si>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</si>
  <si>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</si>
  <si>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</si>
  <si>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</si>
  <si>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</si>
  <si>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</si>
  <si>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</si>
  <si>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</si>
  <si>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</si>
  <si>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</si>
  <si>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</si>
  <si>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</si>
  <si>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</si>
  <si>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</si>
  <si>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</si>
  <si>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</si>
  <si>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</si>
  <si>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</si>
  <si>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</si>
  <si>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</si>
  <si>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</si>
  <si>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</si>
  <si>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</si>
  <si>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</si>
  <si>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</si>
  <si>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</si>
  <si>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</si>
  <si>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</si>
  <si>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</si>
  <si>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</si>
  <si>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</si>
  <si>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</si>
  <si>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</si>
  <si>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</si>
  <si>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</si>
  <si>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</si>
  <si>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</si>
  <si>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</si>
  <si>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</si>
  <si>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</si>
  <si>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</si>
  <si>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</si>
  <si>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</si>
  <si>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</si>
  <si>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</si>
  <si>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</si>
  <si>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</si>
  <si>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</si>
  <si>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</si>
  <si>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</si>
  <si>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</si>
  <si>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</si>
  <si>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</si>
  <si>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</si>
  <si>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</si>
  <si>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</si>
  <si>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</si>
  <si>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</si>
  <si>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</si>
  <si>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</si>
  <si>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</si>
  <si>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</si>
  <si>
    <t>Huobi</t>
  </si>
  <si>
    <t>Find the sample code in the sheet and the code the macro uses in ModExchHuobi</t>
  </si>
  <si>
    <t>apikey_huobi</t>
  </si>
  <si>
    <t>secretkey_huobi</t>
  </si>
  <si>
    <t>ch</t>
  </si>
  <si>
    <t>market.ethusdt.kline.1day</t>
  </si>
  <si>
    <t>ts</t>
  </si>
  <si>
    <t>count</t>
  </si>
  <si>
    <t>{"status":"ok","data":1582632629783}</t>
  </si>
  <si>
    <t>DOGE-BTC</t>
  </si>
  <si>
    <t>quoteVolume</t>
  </si>
  <si>
    <t>percentChange</t>
  </si>
  <si>
    <t>updatedAt</t>
  </si>
  <si>
    <t>2001-01-01T00:00:00Z</t>
  </si>
  <si>
    <t>BTXCRD</t>
  </si>
  <si>
    <t>2019-10-23T04:16:31.1Z</t>
  </si>
  <si>
    <t>{"symbol":"DOGE-BTC","high":"0.00000027","low":"0.00000026","volume":"8810346.84833585","quoteVolume":"2.31410113","percentChange":"0","updatedAt":"2020-09-14T09:52:20.24Z"}</t>
  </si>
  <si>
    <t>2020-09-14T09:52:20.24Z</t>
  </si>
  <si>
    <t>2020-09-14T09:52:37.9516585Z</t>
  </si>
  <si>
    <t>currencySymbol</t>
  </si>
  <si>
    <t>total</t>
  </si>
  <si>
    <t>Bitvavo</t>
  </si>
  <si>
    <t>apikey_bitvavo</t>
  </si>
  <si>
    <t>secretkey_bitvavo</t>
  </si>
  <si>
    <t>{"time":1619016031321}</t>
  </si>
  <si>
    <t>decimals</t>
  </si>
  <si>
    <t>depositFee</t>
  </si>
  <si>
    <t>depositConfirmations</t>
  </si>
  <si>
    <t>depositStatus</t>
  </si>
  <si>
    <t>OK</t>
  </si>
  <si>
    <t>withdrawalFee</t>
  </si>
  <si>
    <t>withdrawalMinAmount</t>
  </si>
  <si>
    <t>withdrawalStatus</t>
  </si>
  <si>
    <t>networks</t>
  </si>
  <si>
    <t>Mainnet</t>
  </si>
  <si>
    <t>message</t>
  </si>
  <si>
    <t>STEP 3: use the ArrayTable function to extract the data to a hierarchical structure</t>
  </si>
  <si>
    <t>market</t>
  </si>
  <si>
    <t>bidSize</t>
  </si>
  <si>
    <t>askSize</t>
  </si>
  <si>
    <t>ETH-EUR</t>
  </si>
  <si>
    <t>Kolom1</t>
  </si>
  <si>
    <t>Kolom2</t>
  </si>
  <si>
    <t>Kolom3</t>
  </si>
  <si>
    <t>Kolom4</t>
  </si>
  <si>
    <t>Kolom5</t>
  </si>
  <si>
    <t>Kolom6</t>
  </si>
  <si>
    <t>Kolom7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</si>
</sst>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0" fillId="0" borderId="8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1" applyFont="1" applyBorder="1"/>
    <xf numFmtId="164" fontId="0" fillId="0" borderId="5" xfId="1" applyFont="1" applyBorder="1"/>
    <xf numFmtId="168" fontId="0" fillId="0" borderId="7" xfId="1" applyNumberFormat="1" applyFont="1" applyBorder="1"/>
    <xf numFmtId="168" fontId="0" fillId="0" borderId="6" xfId="1" applyNumberFormat="1" applyFont="1" applyBorder="1"/>
    <xf numFmtId="0" fontId="3" fillId="0" borderId="0" xfId="0" applyFont="1" applyBorder="1"/>
  </cellXfs>
  <cellStyles count="2">
    <cellStyle name="Komma" xfId="1" builtinId="3"/>
    <cellStyle name="Standaard" xfId="0" builtinId="0"/>
  </cellStyles>
  <dxfs count="103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itVavo"/>
      <sheetName val="Bybit"/>
      <sheetName val="Bittrex"/>
      <sheetName val="Coinbase"/>
      <sheetName val="CoinbasePro"/>
      <sheetName val="Coinone"/>
      <sheetName val="Coinspot"/>
      <sheetName val="HitBTC"/>
      <sheetName val="Huobi"/>
      <sheetName val="Kraken"/>
      <sheetName val="Kucoin"/>
      <sheetName val="OKEx"/>
      <sheetName val="Poloniex"/>
      <sheetName val="crypto_vba_example_dev"/>
    </sheetNames>
    <sheetDataSet>
      <sheetData sheetId="0"/>
      <sheetData sheetId="1" refreshError="1"/>
      <sheetData sheetId="2" refreshError="1"/>
      <sheetData sheetId="3">
        <row r="3">
          <cell r="C3" t="str">
            <v>EOSETH</v>
          </cell>
        </row>
      </sheetData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102" dataDxfId="101">
  <autoFilter ref="B31:F195" xr:uid="{2785BCC6-62DE-40D7-BF15-0BEDCD40E032}"/>
  <tableColumns count="5">
    <tableColumn id="1" xr3:uid="{465F583A-080E-4F5D-963A-2294DBC63900}" name="GROUP_1" dataDxfId="100"/>
    <tableColumn id="2" xr3:uid="{B0F9BDA7-D829-45FB-87D1-3B53F9BE7F5E}" name="GROUP_2" dataDxfId="99"/>
    <tableColumn id="3" xr3:uid="{E8AADA28-7D3F-4A87-B33E-FF273766C715}" name="asset" dataDxfId="98"/>
    <tableColumn id="4" xr3:uid="{9559B84C-9B25-47F7-B0C8-62DA5F830546}" name="free" dataDxfId="97"/>
    <tableColumn id="5" xr3:uid="{1DB314E5-4358-4E65-AED0-EE1287F5AD16}" name="locked" dataDxfId="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95" dataDxfId="94">
  <autoFilter ref="B39:F43" xr:uid="{F9A61805-56C7-41BB-B969-C86E2192A6BC}"/>
  <tableColumns count="5">
    <tableColumn id="1" xr3:uid="{C2EF4B13-1D71-4632-A480-C69F0E79A245}" name="GROUP_1" dataDxfId="93"/>
    <tableColumn id="2" xr3:uid="{007A88C8-3730-4A9C-96C8-A764E85BFAAA}" name="type" dataDxfId="92"/>
    <tableColumn id="3" xr3:uid="{7EE3BA6D-B92D-4548-B7B3-13D42CDACEA2}" name="currency" dataDxfId="91"/>
    <tableColumn id="4" xr3:uid="{BCB5CA3A-7AE8-4B3E-94C4-9711C4E25916}" name="amount" dataDxfId="90"/>
    <tableColumn id="5" xr3:uid="{0C12B869-30BA-40FA-9C90-88922D217631}" name="available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8" dataDxfId="87">
  <autoFilter ref="B36:C72" xr:uid="{FED144E8-8A3E-4CC8-8C0A-B8372D6F3C7B}"/>
  <tableColumns count="2">
    <tableColumn id="1" xr3:uid="{BB629EA3-E966-4E45-873F-7FF127D5A6CD}" name="title" dataDxfId="86"/>
    <tableColumn id="2" xr3:uid="{2CB5CFDC-B9B9-408D-832C-12E94E7F8F55}" name="value" dataDxfId="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23AFA1C-94EB-4A32-A51E-019A8B59AD92}" name="Tbl_Bitvavo_Balances" displayName="Tbl_Bitvavo_Balances" ref="B38:H39" totalsRowShown="0" headerRowDxfId="84" dataDxfId="83">
  <autoFilter ref="B38:H39" xr:uid="{9198978A-62B3-4392-850C-2018ADDAFDAB}"/>
  <tableColumns count="7">
    <tableColumn id="1" xr3:uid="{F05CCFBE-4E25-495F-BBD4-42BBA7F968C6}" name="Kolom1" dataDxfId="82"/>
    <tableColumn id="2" xr3:uid="{64AD77F1-F3CD-4BB7-98ED-E6BFD0CE3365}" name="Kolom2" dataDxfId="81"/>
    <tableColumn id="3" xr3:uid="{3A325497-5134-4968-BC88-77CE91499FF1}" name="Kolom3" dataDxfId="80"/>
    <tableColumn id="4" xr3:uid="{C6029E57-316C-47EC-9898-65FF7D9CAEB6}" name="Kolom4" dataDxfId="79"/>
    <tableColumn id="5" xr3:uid="{88CB53FE-20A0-43AC-986F-29D25A049270}" name="Kolom5" dataDxfId="78"/>
    <tableColumn id="6" xr3:uid="{92A2A6D8-5C28-40EF-8D85-35517D6D4DF2}" name="Kolom6" dataDxfId="77"/>
    <tableColumn id="7" xr3:uid="{3D61697E-C6C3-4231-A7A7-3896A873048C}" name="Kolom7" dataDxfId="7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35:F39" totalsRowShown="0" headerRowDxfId="75" dataDxfId="74">
  <autoFilter ref="B35:F39" xr:uid="{00000000-0009-0000-0100-000002000000}"/>
  <tableColumns count="5">
    <tableColumn id="1" xr3:uid="{00000000-0010-0000-0100-000001000000}" name="GROUP_1" dataDxfId="73"/>
    <tableColumn id="2" xr3:uid="{00000000-0010-0000-0100-000002000000}" name="currencySymbol" dataDxfId="72"/>
    <tableColumn id="3" xr3:uid="{00000000-0010-0000-0100-000003000000}" name="total" dataDxfId="71"/>
    <tableColumn id="4" xr3:uid="{00000000-0010-0000-0100-000004000000}" name="available" dataDxfId="70"/>
    <tableColumn id="5" xr3:uid="{00000000-0010-0000-0100-000005000000}" name="updatedAt" dataDxfId="6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opLeftCell="A49" workbookViewId="0">
      <selection activeCell="D42" sqref="D42"/>
    </sheetView>
  </sheetViews>
  <sheetFormatPr defaultColWidth="8.88671875"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664062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6640625" style="1" customWidth="1"/>
    <col min="9" max="9" width="14.109375" style="1" customWidth="1"/>
    <col min="10" max="10" width="14.3320312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115</v>
      </c>
    </row>
    <row r="3" spans="2:10" x14ac:dyDescent="0.2">
      <c r="B3" s="1" t="s">
        <v>1217</v>
      </c>
    </row>
    <row r="4" spans="2:10" x14ac:dyDescent="0.2">
      <c r="B4" s="1" t="s">
        <v>116</v>
      </c>
    </row>
    <row r="5" spans="2:10" x14ac:dyDescent="0.2">
      <c r="B5" s="1" t="s">
        <v>117</v>
      </c>
    </row>
    <row r="6" spans="2:10" x14ac:dyDescent="0.2">
      <c r="B6" s="1" t="s">
        <v>118</v>
      </c>
    </row>
    <row r="8" spans="2:10" x14ac:dyDescent="0.2">
      <c r="B8" s="2" t="s">
        <v>59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63</v>
      </c>
    </row>
    <row r="10" spans="2:10" x14ac:dyDescent="0.2">
      <c r="C10" s="1" t="s">
        <v>64</v>
      </c>
    </row>
    <row r="11" spans="2:10" x14ac:dyDescent="0.2">
      <c r="C11" s="4" t="s">
        <v>119</v>
      </c>
    </row>
    <row r="12" spans="2:10" x14ac:dyDescent="0.2">
      <c r="C12" s="4" t="s">
        <v>120</v>
      </c>
    </row>
    <row r="13" spans="2:10" x14ac:dyDescent="0.2">
      <c r="C13" s="4" t="s">
        <v>121</v>
      </c>
    </row>
    <row r="15" spans="2:10" x14ac:dyDescent="0.2">
      <c r="C15" s="5" t="s">
        <v>66</v>
      </c>
    </row>
    <row r="16" spans="2:10" x14ac:dyDescent="0.2">
      <c r="C16" s="4" t="s">
        <v>65</v>
      </c>
      <c r="D16" s="6">
        <f ca="1">C_LAST_PRICE("ETH","EUR")</f>
        <v>1831.76</v>
      </c>
    </row>
    <row r="17" spans="2:10" x14ac:dyDescent="0.2">
      <c r="C17" s="4" t="s">
        <v>67</v>
      </c>
      <c r="D17" s="7">
        <f ca="1">C_LAST_PRICE("XLM","BTC","Kraken")</f>
        <v>8.0800000000000006E-6</v>
      </c>
    </row>
    <row r="18" spans="2:10" x14ac:dyDescent="0.2">
      <c r="C18" s="4" t="s">
        <v>68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60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71</v>
      </c>
    </row>
    <row r="22" spans="2:10" x14ac:dyDescent="0.2">
      <c r="C22" s="1" t="s">
        <v>64</v>
      </c>
    </row>
    <row r="23" spans="2:10" x14ac:dyDescent="0.2">
      <c r="C23" s="4" t="s">
        <v>119</v>
      </c>
    </row>
    <row r="24" spans="2:10" x14ac:dyDescent="0.2">
      <c r="C24" s="4" t="s">
        <v>120</v>
      </c>
    </row>
    <row r="25" spans="2:10" x14ac:dyDescent="0.2">
      <c r="C25" s="4" t="s">
        <v>122</v>
      </c>
    </row>
    <row r="26" spans="2:10" x14ac:dyDescent="0.2">
      <c r="C26" s="4" t="s">
        <v>121</v>
      </c>
    </row>
    <row r="28" spans="2:10" x14ac:dyDescent="0.2">
      <c r="C28" s="5" t="s">
        <v>66</v>
      </c>
    </row>
    <row r="29" spans="2:10" x14ac:dyDescent="0.2">
      <c r="C29" s="4" t="s">
        <v>69</v>
      </c>
      <c r="D29" s="6">
        <f ca="1">C_HIST_PRICE("XMR","EUR",DATE(2018,1,1))</f>
        <v>185.58</v>
      </c>
    </row>
    <row r="30" spans="2:10" x14ac:dyDescent="0.2">
      <c r="C30" s="4" t="s">
        <v>70</v>
      </c>
      <c r="D30" s="6">
        <f ca="1">C_HIST_PRICE("XLM","BTC",DATE(2018,1,1), "Poloniex")</f>
        <v>7.9999999999999996E-6</v>
      </c>
    </row>
    <row r="31" spans="2:10" x14ac:dyDescent="0.2">
      <c r="C31" s="4"/>
    </row>
    <row r="32" spans="2:10" x14ac:dyDescent="0.2">
      <c r="B32" s="2" t="s">
        <v>61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72</v>
      </c>
    </row>
    <row r="34" spans="2:10" x14ac:dyDescent="0.2">
      <c r="C34" s="1" t="s">
        <v>64</v>
      </c>
    </row>
    <row r="35" spans="2:10" x14ac:dyDescent="0.2">
      <c r="C35" s="4" t="s">
        <v>119</v>
      </c>
    </row>
    <row r="36" spans="2:10" x14ac:dyDescent="0.2">
      <c r="C36" s="4" t="s">
        <v>120</v>
      </c>
    </row>
    <row r="37" spans="2:10" x14ac:dyDescent="0.2">
      <c r="C37" s="4" t="s">
        <v>122</v>
      </c>
    </row>
    <row r="38" spans="2:10" x14ac:dyDescent="0.2">
      <c r="C38" s="4" t="s">
        <v>121</v>
      </c>
    </row>
    <row r="40" spans="2:10" x14ac:dyDescent="0.2">
      <c r="C40" s="5" t="s">
        <v>66</v>
      </c>
    </row>
    <row r="41" spans="2:10" x14ac:dyDescent="0.2">
      <c r="C41" s="4" t="s">
        <v>74</v>
      </c>
      <c r="D41" s="6">
        <f ca="1">C_DAY_AVG_PRICE("XMR","EUR","2017/07/01")</f>
        <v>37.17</v>
      </c>
    </row>
    <row r="42" spans="2:10" x14ac:dyDescent="0.2">
      <c r="C42" s="4" t="s">
        <v>73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62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75</v>
      </c>
    </row>
    <row r="46" spans="2:10" x14ac:dyDescent="0.2">
      <c r="B46" s="1" t="s">
        <v>123</v>
      </c>
    </row>
    <row r="47" spans="2:10" x14ac:dyDescent="0.2">
      <c r="B47" s="8" t="s">
        <v>76</v>
      </c>
    </row>
    <row r="48" spans="2:10" x14ac:dyDescent="0.2">
      <c r="C48" s="1" t="s">
        <v>64</v>
      </c>
    </row>
    <row r="49" spans="3:6" x14ac:dyDescent="0.2">
      <c r="C49" s="4" t="s">
        <v>124</v>
      </c>
    </row>
    <row r="50" spans="3:6" x14ac:dyDescent="0.2">
      <c r="C50" s="4" t="s">
        <v>119</v>
      </c>
    </row>
    <row r="51" spans="3:6" x14ac:dyDescent="0.2">
      <c r="C51" s="4" t="s">
        <v>120</v>
      </c>
    </row>
    <row r="52" spans="3:6" x14ac:dyDescent="0.2">
      <c r="C52" s="4" t="s">
        <v>125</v>
      </c>
    </row>
    <row r="53" spans="3:6" x14ac:dyDescent="0.2">
      <c r="C53" s="1" t="s">
        <v>77</v>
      </c>
    </row>
    <row r="54" spans="3:6" x14ac:dyDescent="0.2">
      <c r="C54" s="4" t="s">
        <v>126</v>
      </c>
    </row>
    <row r="55" spans="3:6" x14ac:dyDescent="0.2">
      <c r="C55" s="4" t="s">
        <v>127</v>
      </c>
    </row>
    <row r="56" spans="3:6" x14ac:dyDescent="0.2">
      <c r="C56" s="4" t="s">
        <v>121</v>
      </c>
    </row>
    <row r="58" spans="3:6" x14ac:dyDescent="0.2">
      <c r="C58" s="5" t="s">
        <v>66</v>
      </c>
    </row>
    <row r="59" spans="3:6" x14ac:dyDescent="0.2">
      <c r="C59" s="4" t="s">
        <v>78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44366</v>
      </c>
      <c r="E60" s="6">
        <f ca="1"/>
        <v>6.1039999999999997E-2</v>
      </c>
      <c r="F60" s="6">
        <f ca="1"/>
        <v>13740.38</v>
      </c>
    </row>
    <row r="61" spans="3:6" x14ac:dyDescent="0.2">
      <c r="D61" s="10">
        <f ca="1"/>
        <v>44367</v>
      </c>
      <c r="E61" s="6">
        <f ca="1"/>
        <v>6.3030000000000003E-2</v>
      </c>
      <c r="F61" s="6">
        <f ca="1"/>
        <v>21427.01</v>
      </c>
    </row>
    <row r="62" spans="3:6" x14ac:dyDescent="0.2">
      <c r="D62" s="10">
        <f ca="1"/>
        <v>44368</v>
      </c>
      <c r="E62" s="6">
        <f ca="1"/>
        <v>5.9650000000000002E-2</v>
      </c>
      <c r="F62" s="6">
        <f ca="1"/>
        <v>35327.910000000003</v>
      </c>
    </row>
    <row r="63" spans="3:6" x14ac:dyDescent="0.2">
      <c r="D63" s="10">
        <f ca="1"/>
        <v>44369</v>
      </c>
      <c r="E63" s="6">
        <f ca="1"/>
        <v>5.7770000000000002E-2</v>
      </c>
      <c r="F63" s="6">
        <f ca="1"/>
        <v>40775.47</v>
      </c>
    </row>
    <row r="64" spans="3:6" x14ac:dyDescent="0.2">
      <c r="D64" s="10">
        <f ca="1"/>
        <v>44370</v>
      </c>
      <c r="E64" s="6">
        <f ca="1"/>
        <v>5.8459999999999998E-2</v>
      </c>
      <c r="F64" s="6">
        <f ca="1"/>
        <v>22058.87</v>
      </c>
    </row>
    <row r="65" spans="3:11" x14ac:dyDescent="0.2">
      <c r="D65" s="10">
        <f ca="1"/>
        <v>44371</v>
      </c>
      <c r="E65" s="6">
        <f ca="1"/>
        <v>5.74E-2</v>
      </c>
      <c r="F65" s="6">
        <f ca="1"/>
        <v>21322.639999999999</v>
      </c>
    </row>
    <row r="66" spans="3:11" x14ac:dyDescent="0.2">
      <c r="D66" s="10">
        <f ca="1"/>
        <v>44372</v>
      </c>
      <c r="E66" s="6">
        <f ca="1"/>
        <v>5.7299999999999997E-2</v>
      </c>
      <c r="F66" s="6">
        <f ca="1"/>
        <v>28059.75</v>
      </c>
    </row>
    <row r="67" spans="3:11" x14ac:dyDescent="0.2">
      <c r="D67" s="10">
        <f ca="1"/>
        <v>44373</v>
      </c>
      <c r="E67" s="6">
        <f ca="1"/>
        <v>5.6710000000000003E-2</v>
      </c>
      <c r="F67" s="6">
        <f ca="1"/>
        <v>22479.06</v>
      </c>
    </row>
    <row r="68" spans="3:11" x14ac:dyDescent="0.2">
      <c r="D68" s="10">
        <f ca="1"/>
        <v>44374</v>
      </c>
      <c r="E68" s="6">
        <f ca="1"/>
        <v>5.713E-2</v>
      </c>
      <c r="F68" s="6">
        <f ca="1"/>
        <v>20065.68</v>
      </c>
    </row>
    <row r="69" spans="3:11" x14ac:dyDescent="0.2">
      <c r="D69" s="10">
        <f ca="1"/>
        <v>44375</v>
      </c>
      <c r="E69" s="6">
        <f ca="1"/>
        <v>6.0429999999999998E-2</v>
      </c>
      <c r="F69" s="6">
        <f ca="1"/>
        <v>33197.4</v>
      </c>
    </row>
    <row r="72" spans="3:11" x14ac:dyDescent="0.2">
      <c r="C72" s="4" t="s">
        <v>79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93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94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ColWidth="8.88671875"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114</v>
      </c>
      <c r="D2" s="4"/>
    </row>
    <row r="3" spans="3:11" x14ac:dyDescent="0.2">
      <c r="C3" s="14" t="s">
        <v>95</v>
      </c>
      <c r="D3" s="4" t="s">
        <v>124</v>
      </c>
    </row>
    <row r="4" spans="3:11" x14ac:dyDescent="0.2">
      <c r="C4" s="14" t="s">
        <v>47</v>
      </c>
      <c r="D4" s="4" t="s">
        <v>119</v>
      </c>
    </row>
    <row r="5" spans="3:11" x14ac:dyDescent="0.2">
      <c r="C5" s="14" t="s">
        <v>33</v>
      </c>
      <c r="D5" s="4" t="s">
        <v>120</v>
      </c>
    </row>
    <row r="6" spans="3:11" x14ac:dyDescent="0.2">
      <c r="C6" s="14" t="s">
        <v>91</v>
      </c>
      <c r="D6" s="4" t="s">
        <v>125</v>
      </c>
      <c r="K6" s="1" t="s">
        <v>77</v>
      </c>
    </row>
    <row r="7" spans="3:11" x14ac:dyDescent="0.2">
      <c r="C7" s="14">
        <v>5</v>
      </c>
      <c r="D7" s="4" t="s">
        <v>126</v>
      </c>
    </row>
    <row r="8" spans="3:11" x14ac:dyDescent="0.2">
      <c r="C8" s="15"/>
      <c r="D8" s="4" t="s">
        <v>127</v>
      </c>
    </row>
    <row r="9" spans="3:11" x14ac:dyDescent="0.2">
      <c r="C9" s="14"/>
      <c r="D9" s="4" t="s">
        <v>121</v>
      </c>
    </row>
    <row r="10" spans="3:11" x14ac:dyDescent="0.2">
      <c r="C10" s="14" t="b">
        <v>1</v>
      </c>
      <c r="D10" s="4" t="s">
        <v>1215</v>
      </c>
    </row>
    <row r="11" spans="3:11" x14ac:dyDescent="0.2">
      <c r="C11" s="14"/>
      <c r="D11" s="4" t="s">
        <v>1216</v>
      </c>
    </row>
    <row r="13" spans="3:11" x14ac:dyDescent="0.2">
      <c r="D13" s="16"/>
    </row>
    <row r="14" spans="3:11" x14ac:dyDescent="0.2">
      <c r="C14" s="2" t="s">
        <v>88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89</v>
      </c>
      <c r="E15" s="1" t="s">
        <v>90</v>
      </c>
      <c r="F15" s="1" t="s">
        <v>92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D12" sqref="D12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6640625" style="1" bestFit="1" customWidth="1"/>
    <col min="13" max="13" width="10.6640625" style="1" bestFit="1" customWidth="1"/>
    <col min="14" max="16384" width="8.88671875" style="1"/>
  </cols>
  <sheetData>
    <row r="2" spans="1:6" ht="17.399999999999999" x14ac:dyDescent="0.3">
      <c r="B2" s="18" t="s">
        <v>112</v>
      </c>
    </row>
    <row r="3" spans="1:6" x14ac:dyDescent="0.2">
      <c r="B3" s="16" t="s">
        <v>113</v>
      </c>
    </row>
    <row r="4" spans="1:6" x14ac:dyDescent="0.2">
      <c r="B4" s="1" t="s">
        <v>129</v>
      </c>
    </row>
    <row r="6" spans="1:6" x14ac:dyDescent="0.2">
      <c r="B6" s="4" t="s">
        <v>38</v>
      </c>
      <c r="C6" s="19" t="s">
        <v>1213</v>
      </c>
    </row>
    <row r="7" spans="1:6" x14ac:dyDescent="0.2">
      <c r="B7" s="4" t="s">
        <v>39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133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40</v>
      </c>
      <c r="E18" s="22">
        <v>1554407800192</v>
      </c>
      <c r="F18" s="23" t="s">
        <v>21</v>
      </c>
    </row>
    <row r="21" spans="1:6" x14ac:dyDescent="0.2">
      <c r="A21" s="4" t="s">
        <v>131</v>
      </c>
    </row>
    <row r="23" spans="1:6" ht="12" thickBot="1" x14ac:dyDescent="0.25">
      <c r="B23" s="2" t="s">
        <v>23</v>
      </c>
      <c r="D23" s="2" t="s">
        <v>41</v>
      </c>
      <c r="E23" s="2"/>
      <c r="F23" s="2"/>
    </row>
    <row r="24" spans="1:6" x14ac:dyDescent="0.2">
      <c r="B24" s="24" t="s">
        <v>40</v>
      </c>
      <c r="D24" s="25" t="s">
        <v>48</v>
      </c>
      <c r="E24" s="29" t="s">
        <v>42</v>
      </c>
      <c r="F24" s="26" t="s">
        <v>293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132</v>
      </c>
    </row>
    <row r="30" spans="1:6" x14ac:dyDescent="0.2">
      <c r="B30" s="2" t="s">
        <v>298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44</v>
      </c>
      <c r="F31" s="1" t="s">
        <v>45</v>
      </c>
    </row>
    <row r="32" spans="1:6" x14ac:dyDescent="0.2">
      <c r="B32" s="1" t="s">
        <v>43</v>
      </c>
      <c r="C32" s="1">
        <v>1</v>
      </c>
      <c r="D32" s="1" t="s">
        <v>33</v>
      </c>
      <c r="E32" s="1">
        <v>0</v>
      </c>
      <c r="F32" s="1">
        <v>0</v>
      </c>
    </row>
    <row r="33" spans="2:6" x14ac:dyDescent="0.2">
      <c r="B33" s="1" t="s">
        <v>43</v>
      </c>
      <c r="C33" s="1">
        <v>2</v>
      </c>
      <c r="D33" s="1" t="s">
        <v>46</v>
      </c>
      <c r="E33" s="1">
        <v>0</v>
      </c>
      <c r="F33" s="1">
        <v>0</v>
      </c>
    </row>
    <row r="34" spans="2:6" x14ac:dyDescent="0.2">
      <c r="B34" s="1" t="s">
        <v>43</v>
      </c>
      <c r="C34" s="1">
        <v>3</v>
      </c>
      <c r="D34" s="1" t="s">
        <v>47</v>
      </c>
      <c r="E34" s="1">
        <v>0</v>
      </c>
      <c r="F34" s="1">
        <v>0</v>
      </c>
    </row>
    <row r="35" spans="2:6" x14ac:dyDescent="0.2">
      <c r="B35" s="1" t="s">
        <v>43</v>
      </c>
      <c r="C35" s="1">
        <v>4</v>
      </c>
      <c r="D35" s="1" t="s">
        <v>134</v>
      </c>
      <c r="E35" s="1">
        <v>0</v>
      </c>
      <c r="F35" s="1">
        <v>0</v>
      </c>
    </row>
    <row r="36" spans="2:6" x14ac:dyDescent="0.2">
      <c r="B36" s="1" t="s">
        <v>43</v>
      </c>
      <c r="C36" s="1">
        <v>5</v>
      </c>
      <c r="D36" s="1" t="s">
        <v>135</v>
      </c>
      <c r="E36" s="1">
        <v>0</v>
      </c>
      <c r="F36" s="1">
        <v>0</v>
      </c>
    </row>
    <row r="37" spans="2:6" x14ac:dyDescent="0.2">
      <c r="B37" s="1" t="s">
        <v>43</v>
      </c>
      <c r="C37" s="1">
        <v>6</v>
      </c>
      <c r="D37" s="1" t="s">
        <v>136</v>
      </c>
      <c r="E37" s="1">
        <v>0</v>
      </c>
      <c r="F37" s="1">
        <v>0</v>
      </c>
    </row>
    <row r="38" spans="2:6" x14ac:dyDescent="0.2">
      <c r="B38" s="1" t="s">
        <v>43</v>
      </c>
      <c r="C38" s="1">
        <v>7</v>
      </c>
      <c r="D38" s="1" t="s">
        <v>137</v>
      </c>
      <c r="E38" s="1">
        <v>0</v>
      </c>
      <c r="F38" s="1">
        <v>0</v>
      </c>
    </row>
    <row r="39" spans="2:6" x14ac:dyDescent="0.2">
      <c r="B39" s="1" t="s">
        <v>43</v>
      </c>
      <c r="C39" s="1">
        <v>8</v>
      </c>
      <c r="D39" s="1" t="s">
        <v>138</v>
      </c>
      <c r="E39" s="1">
        <v>0</v>
      </c>
      <c r="F39" s="1">
        <v>0</v>
      </c>
    </row>
    <row r="40" spans="2:6" x14ac:dyDescent="0.2">
      <c r="B40" s="1" t="s">
        <v>43</v>
      </c>
      <c r="C40" s="1">
        <v>9</v>
      </c>
      <c r="D40" s="1" t="s">
        <v>139</v>
      </c>
      <c r="E40" s="1">
        <v>0</v>
      </c>
      <c r="F40" s="1">
        <v>0</v>
      </c>
    </row>
    <row r="41" spans="2:6" x14ac:dyDescent="0.2">
      <c r="B41" s="1" t="s">
        <v>43</v>
      </c>
      <c r="C41" s="1">
        <v>10</v>
      </c>
      <c r="D41" s="1" t="s">
        <v>96</v>
      </c>
      <c r="E41" s="1">
        <v>0</v>
      </c>
      <c r="F41" s="1">
        <v>0</v>
      </c>
    </row>
    <row r="42" spans="2:6" x14ac:dyDescent="0.2">
      <c r="B42" s="1" t="s">
        <v>43</v>
      </c>
      <c r="C42" s="1">
        <v>11</v>
      </c>
      <c r="D42" s="1" t="s">
        <v>140</v>
      </c>
      <c r="E42" s="1">
        <v>0</v>
      </c>
      <c r="F42" s="1">
        <v>0</v>
      </c>
    </row>
    <row r="43" spans="2:6" x14ac:dyDescent="0.2">
      <c r="B43" s="1" t="s">
        <v>43</v>
      </c>
      <c r="C43" s="1">
        <v>12</v>
      </c>
      <c r="D43" s="1" t="s">
        <v>141</v>
      </c>
      <c r="E43" s="1">
        <v>0</v>
      </c>
      <c r="F43" s="1">
        <v>0</v>
      </c>
    </row>
    <row r="44" spans="2:6" x14ac:dyDescent="0.2">
      <c r="B44" s="1" t="s">
        <v>43</v>
      </c>
      <c r="C44" s="1">
        <v>13</v>
      </c>
      <c r="D44" s="1" t="s">
        <v>142</v>
      </c>
      <c r="E44" s="1">
        <v>0</v>
      </c>
      <c r="F44" s="1">
        <v>0</v>
      </c>
    </row>
    <row r="45" spans="2:6" x14ac:dyDescent="0.2">
      <c r="B45" s="1" t="s">
        <v>43</v>
      </c>
      <c r="C45" s="1">
        <v>14</v>
      </c>
      <c r="D45" s="1" t="s">
        <v>143</v>
      </c>
      <c r="E45" s="1">
        <v>0</v>
      </c>
      <c r="F45" s="1">
        <v>0</v>
      </c>
    </row>
    <row r="46" spans="2:6" x14ac:dyDescent="0.2">
      <c r="B46" s="1" t="s">
        <v>43</v>
      </c>
      <c r="C46" s="1">
        <v>15</v>
      </c>
      <c r="D46" s="1" t="s">
        <v>144</v>
      </c>
      <c r="E46" s="1">
        <v>0</v>
      </c>
      <c r="F46" s="1">
        <v>0</v>
      </c>
    </row>
    <row r="47" spans="2:6" x14ac:dyDescent="0.2">
      <c r="B47" s="1" t="s">
        <v>43</v>
      </c>
      <c r="C47" s="1">
        <v>16</v>
      </c>
      <c r="D47" s="1" t="s">
        <v>145</v>
      </c>
      <c r="E47" s="1">
        <v>0</v>
      </c>
      <c r="F47" s="1">
        <v>0</v>
      </c>
    </row>
    <row r="48" spans="2:6" x14ac:dyDescent="0.2">
      <c r="B48" s="1" t="s">
        <v>43</v>
      </c>
      <c r="C48" s="1">
        <v>17</v>
      </c>
      <c r="D48" s="1" t="s">
        <v>146</v>
      </c>
      <c r="E48" s="1">
        <v>0</v>
      </c>
      <c r="F48" s="1">
        <v>0</v>
      </c>
    </row>
    <row r="49" spans="2:6" x14ac:dyDescent="0.2">
      <c r="B49" s="1" t="s">
        <v>43</v>
      </c>
      <c r="C49" s="1">
        <v>18</v>
      </c>
      <c r="D49" s="1" t="s">
        <v>147</v>
      </c>
      <c r="E49" s="1">
        <v>0</v>
      </c>
      <c r="F49" s="1">
        <v>0</v>
      </c>
    </row>
    <row r="50" spans="2:6" x14ac:dyDescent="0.2">
      <c r="B50" s="1" t="s">
        <v>43</v>
      </c>
      <c r="C50" s="1">
        <v>19</v>
      </c>
      <c r="D50" s="1" t="s">
        <v>148</v>
      </c>
      <c r="E50" s="1">
        <v>0</v>
      </c>
      <c r="F50" s="1">
        <v>0</v>
      </c>
    </row>
    <row r="51" spans="2:6" x14ac:dyDescent="0.2">
      <c r="B51" s="1" t="s">
        <v>43</v>
      </c>
      <c r="C51" s="1">
        <v>20</v>
      </c>
      <c r="D51" s="1" t="s">
        <v>149</v>
      </c>
      <c r="E51" s="1">
        <v>0</v>
      </c>
      <c r="F51" s="1">
        <v>0</v>
      </c>
    </row>
    <row r="52" spans="2:6" x14ac:dyDescent="0.2">
      <c r="B52" s="1" t="s">
        <v>43</v>
      </c>
      <c r="C52" s="1">
        <v>21</v>
      </c>
      <c r="D52" s="1" t="s">
        <v>150</v>
      </c>
      <c r="E52" s="1">
        <v>0</v>
      </c>
      <c r="F52" s="1">
        <v>0</v>
      </c>
    </row>
    <row r="53" spans="2:6" x14ac:dyDescent="0.2">
      <c r="B53" s="1" t="s">
        <v>43</v>
      </c>
      <c r="C53" s="1">
        <v>22</v>
      </c>
      <c r="D53" s="1" t="s">
        <v>151</v>
      </c>
      <c r="E53" s="1">
        <v>0</v>
      </c>
      <c r="F53" s="1">
        <v>0</v>
      </c>
    </row>
    <row r="54" spans="2:6" x14ac:dyDescent="0.2">
      <c r="B54" s="1" t="s">
        <v>43</v>
      </c>
      <c r="C54" s="1">
        <v>23</v>
      </c>
      <c r="D54" s="1" t="s">
        <v>152</v>
      </c>
      <c r="E54" s="1">
        <v>0</v>
      </c>
      <c r="F54" s="1">
        <v>0</v>
      </c>
    </row>
    <row r="55" spans="2:6" x14ac:dyDescent="0.2">
      <c r="B55" s="1" t="s">
        <v>43</v>
      </c>
      <c r="C55" s="1">
        <v>24</v>
      </c>
      <c r="D55" s="1" t="s">
        <v>153</v>
      </c>
      <c r="E55" s="1">
        <v>0</v>
      </c>
      <c r="F55" s="1">
        <v>0</v>
      </c>
    </row>
    <row r="56" spans="2:6" x14ac:dyDescent="0.2">
      <c r="B56" s="1" t="s">
        <v>43</v>
      </c>
      <c r="C56" s="1">
        <v>25</v>
      </c>
      <c r="D56" s="1" t="s">
        <v>154</v>
      </c>
      <c r="E56" s="1">
        <v>0</v>
      </c>
      <c r="F56" s="1">
        <v>0</v>
      </c>
    </row>
    <row r="57" spans="2:6" x14ac:dyDescent="0.2">
      <c r="B57" s="1" t="s">
        <v>43</v>
      </c>
      <c r="C57" s="1">
        <v>26</v>
      </c>
      <c r="D57" s="1" t="s">
        <v>155</v>
      </c>
      <c r="E57" s="1">
        <v>0</v>
      </c>
      <c r="F57" s="1">
        <v>0</v>
      </c>
    </row>
    <row r="58" spans="2:6" x14ac:dyDescent="0.2">
      <c r="B58" s="1" t="s">
        <v>43</v>
      </c>
      <c r="C58" s="1">
        <v>27</v>
      </c>
      <c r="D58" s="1" t="s">
        <v>156</v>
      </c>
      <c r="E58" s="1">
        <v>0</v>
      </c>
      <c r="F58" s="1">
        <v>0</v>
      </c>
    </row>
    <row r="59" spans="2:6" x14ac:dyDescent="0.2">
      <c r="B59" s="1" t="s">
        <v>43</v>
      </c>
      <c r="C59" s="1">
        <v>28</v>
      </c>
      <c r="D59" s="1" t="s">
        <v>157</v>
      </c>
      <c r="E59" s="1">
        <v>0</v>
      </c>
      <c r="F59" s="1">
        <v>0</v>
      </c>
    </row>
    <row r="60" spans="2:6" x14ac:dyDescent="0.2">
      <c r="B60" s="1" t="s">
        <v>43</v>
      </c>
      <c r="C60" s="1">
        <v>29</v>
      </c>
      <c r="D60" s="1" t="s">
        <v>158</v>
      </c>
      <c r="E60" s="1">
        <v>0</v>
      </c>
      <c r="F60" s="1">
        <v>0</v>
      </c>
    </row>
    <row r="61" spans="2:6" x14ac:dyDescent="0.2">
      <c r="B61" s="1" t="s">
        <v>43</v>
      </c>
      <c r="C61" s="1">
        <v>30</v>
      </c>
      <c r="D61" s="1" t="s">
        <v>159</v>
      </c>
      <c r="E61" s="1">
        <v>0</v>
      </c>
      <c r="F61" s="1">
        <v>0</v>
      </c>
    </row>
    <row r="62" spans="2:6" x14ac:dyDescent="0.2">
      <c r="B62" s="1" t="s">
        <v>43</v>
      </c>
      <c r="C62" s="1">
        <v>31</v>
      </c>
      <c r="D62" s="1" t="s">
        <v>160</v>
      </c>
      <c r="E62" s="1">
        <v>0</v>
      </c>
      <c r="F62" s="1">
        <v>0</v>
      </c>
    </row>
    <row r="63" spans="2:6" x14ac:dyDescent="0.2">
      <c r="B63" s="1" t="s">
        <v>43</v>
      </c>
      <c r="C63" s="1">
        <v>32</v>
      </c>
      <c r="D63" s="1" t="s">
        <v>161</v>
      </c>
      <c r="E63" s="1">
        <v>0</v>
      </c>
      <c r="F63" s="1">
        <v>0</v>
      </c>
    </row>
    <row r="64" spans="2:6" x14ac:dyDescent="0.2">
      <c r="B64" s="1" t="s">
        <v>43</v>
      </c>
      <c r="C64" s="1">
        <v>33</v>
      </c>
      <c r="D64" s="1" t="s">
        <v>162</v>
      </c>
      <c r="E64" s="1">
        <v>0</v>
      </c>
      <c r="F64" s="1">
        <v>0</v>
      </c>
    </row>
    <row r="65" spans="2:6" x14ac:dyDescent="0.2">
      <c r="B65" s="1" t="s">
        <v>43</v>
      </c>
      <c r="C65" s="1">
        <v>34</v>
      </c>
      <c r="D65" s="1" t="s">
        <v>163</v>
      </c>
      <c r="E65" s="1">
        <v>0</v>
      </c>
      <c r="F65" s="1">
        <v>0</v>
      </c>
    </row>
    <row r="66" spans="2:6" x14ac:dyDescent="0.2">
      <c r="B66" s="1" t="s">
        <v>43</v>
      </c>
      <c r="C66" s="1">
        <v>35</v>
      </c>
      <c r="D66" s="1" t="s">
        <v>164</v>
      </c>
      <c r="E66" s="1">
        <v>0</v>
      </c>
      <c r="F66" s="1">
        <v>0</v>
      </c>
    </row>
    <row r="67" spans="2:6" x14ac:dyDescent="0.2">
      <c r="B67" s="1" t="s">
        <v>43</v>
      </c>
      <c r="C67" s="1">
        <v>36</v>
      </c>
      <c r="D67" s="1" t="s">
        <v>165</v>
      </c>
      <c r="E67" s="1">
        <v>0</v>
      </c>
      <c r="F67" s="1">
        <v>0</v>
      </c>
    </row>
    <row r="68" spans="2:6" x14ac:dyDescent="0.2">
      <c r="B68" s="1" t="s">
        <v>43</v>
      </c>
      <c r="C68" s="1">
        <v>37</v>
      </c>
      <c r="D68" s="1" t="s">
        <v>166</v>
      </c>
      <c r="E68" s="1">
        <v>0</v>
      </c>
      <c r="F68" s="1">
        <v>0</v>
      </c>
    </row>
    <row r="69" spans="2:6" x14ac:dyDescent="0.2">
      <c r="B69" s="1" t="s">
        <v>43</v>
      </c>
      <c r="C69" s="1">
        <v>38</v>
      </c>
      <c r="D69" s="1" t="s">
        <v>167</v>
      </c>
      <c r="E69" s="1">
        <v>0</v>
      </c>
      <c r="F69" s="1">
        <v>0</v>
      </c>
    </row>
    <row r="70" spans="2:6" x14ac:dyDescent="0.2">
      <c r="B70" s="1" t="s">
        <v>43</v>
      </c>
      <c r="C70" s="1">
        <v>39</v>
      </c>
      <c r="D70" s="1" t="s">
        <v>168</v>
      </c>
      <c r="E70" s="1">
        <v>0</v>
      </c>
      <c r="F70" s="1">
        <v>0</v>
      </c>
    </row>
    <row r="71" spans="2:6" x14ac:dyDescent="0.2">
      <c r="B71" s="1" t="s">
        <v>43</v>
      </c>
      <c r="C71" s="1">
        <v>40</v>
      </c>
      <c r="D71" s="1" t="s">
        <v>169</v>
      </c>
      <c r="E71" s="1">
        <v>0</v>
      </c>
      <c r="F71" s="1">
        <v>0</v>
      </c>
    </row>
    <row r="72" spans="2:6" x14ac:dyDescent="0.2">
      <c r="B72" s="1" t="s">
        <v>43</v>
      </c>
      <c r="C72" s="1">
        <v>41</v>
      </c>
      <c r="D72" s="1" t="s">
        <v>170</v>
      </c>
      <c r="E72" s="1">
        <v>0</v>
      </c>
      <c r="F72" s="1">
        <v>0</v>
      </c>
    </row>
    <row r="73" spans="2:6" x14ac:dyDescent="0.2">
      <c r="B73" s="1" t="s">
        <v>43</v>
      </c>
      <c r="C73" s="1">
        <v>42</v>
      </c>
      <c r="D73" s="1" t="s">
        <v>171</v>
      </c>
      <c r="E73" s="1">
        <v>0</v>
      </c>
      <c r="F73" s="1">
        <v>0</v>
      </c>
    </row>
    <row r="74" spans="2:6" x14ac:dyDescent="0.2">
      <c r="B74" s="1" t="s">
        <v>43</v>
      </c>
      <c r="C74" s="1">
        <v>43</v>
      </c>
      <c r="D74" s="1" t="s">
        <v>172</v>
      </c>
      <c r="E74" s="1">
        <v>0</v>
      </c>
      <c r="F74" s="1">
        <v>0</v>
      </c>
    </row>
    <row r="75" spans="2:6" x14ac:dyDescent="0.2">
      <c r="B75" s="1" t="s">
        <v>43</v>
      </c>
      <c r="C75" s="1">
        <v>44</v>
      </c>
      <c r="D75" s="1" t="s">
        <v>173</v>
      </c>
      <c r="E75" s="1">
        <v>0</v>
      </c>
      <c r="F75" s="1">
        <v>0</v>
      </c>
    </row>
    <row r="76" spans="2:6" x14ac:dyDescent="0.2">
      <c r="B76" s="1" t="s">
        <v>43</v>
      </c>
      <c r="C76" s="1">
        <v>45</v>
      </c>
      <c r="D76" s="1" t="s">
        <v>174</v>
      </c>
      <c r="E76" s="1">
        <v>0</v>
      </c>
      <c r="F76" s="1">
        <v>0</v>
      </c>
    </row>
    <row r="77" spans="2:6" x14ac:dyDescent="0.2">
      <c r="B77" s="1" t="s">
        <v>43</v>
      </c>
      <c r="C77" s="1">
        <v>46</v>
      </c>
      <c r="D77" s="1" t="s">
        <v>175</v>
      </c>
      <c r="E77" s="1">
        <v>0</v>
      </c>
      <c r="F77" s="1">
        <v>0</v>
      </c>
    </row>
    <row r="78" spans="2:6" x14ac:dyDescent="0.2">
      <c r="B78" s="1" t="s">
        <v>43</v>
      </c>
      <c r="C78" s="1">
        <v>47</v>
      </c>
      <c r="D78" s="1" t="s">
        <v>176</v>
      </c>
      <c r="E78" s="1">
        <v>0</v>
      </c>
      <c r="F78" s="1">
        <v>0</v>
      </c>
    </row>
    <row r="79" spans="2:6" x14ac:dyDescent="0.2">
      <c r="B79" s="1" t="s">
        <v>43</v>
      </c>
      <c r="C79" s="1">
        <v>48</v>
      </c>
      <c r="D79" s="1" t="s">
        <v>177</v>
      </c>
      <c r="E79" s="1">
        <v>0</v>
      </c>
      <c r="F79" s="1">
        <v>0</v>
      </c>
    </row>
    <row r="80" spans="2:6" x14ac:dyDescent="0.2">
      <c r="B80" s="1" t="s">
        <v>43</v>
      </c>
      <c r="C80" s="1">
        <v>49</v>
      </c>
      <c r="D80" s="1" t="s">
        <v>178</v>
      </c>
      <c r="E80" s="1">
        <v>0</v>
      </c>
      <c r="F80" s="1">
        <v>0</v>
      </c>
    </row>
    <row r="81" spans="2:6" x14ac:dyDescent="0.2">
      <c r="B81" s="1" t="s">
        <v>43</v>
      </c>
      <c r="C81" s="1">
        <v>50</v>
      </c>
      <c r="D81" s="1" t="s">
        <v>179</v>
      </c>
      <c r="E81" s="1">
        <v>0</v>
      </c>
      <c r="F81" s="1">
        <v>0</v>
      </c>
    </row>
    <row r="82" spans="2:6" x14ac:dyDescent="0.2">
      <c r="B82" s="1" t="s">
        <v>43</v>
      </c>
      <c r="C82" s="1">
        <v>51</v>
      </c>
      <c r="D82" s="1" t="s">
        <v>180</v>
      </c>
      <c r="E82" s="1">
        <v>0</v>
      </c>
      <c r="F82" s="1">
        <v>0</v>
      </c>
    </row>
    <row r="83" spans="2:6" x14ac:dyDescent="0.2">
      <c r="B83" s="1" t="s">
        <v>43</v>
      </c>
      <c r="C83" s="1">
        <v>52</v>
      </c>
      <c r="D83" s="1" t="s">
        <v>181</v>
      </c>
      <c r="E83" s="1">
        <v>0</v>
      </c>
      <c r="F83" s="1">
        <v>0</v>
      </c>
    </row>
    <row r="84" spans="2:6" x14ac:dyDescent="0.2">
      <c r="B84" s="1" t="s">
        <v>43</v>
      </c>
      <c r="C84" s="1">
        <v>53</v>
      </c>
      <c r="D84" s="1" t="s">
        <v>182</v>
      </c>
      <c r="E84" s="1">
        <v>0</v>
      </c>
      <c r="F84" s="1">
        <v>0</v>
      </c>
    </row>
    <row r="85" spans="2:6" x14ac:dyDescent="0.2">
      <c r="B85" s="1" t="s">
        <v>43</v>
      </c>
      <c r="C85" s="1">
        <v>54</v>
      </c>
      <c r="D85" s="1" t="s">
        <v>183</v>
      </c>
      <c r="E85" s="1">
        <v>0</v>
      </c>
      <c r="F85" s="1">
        <v>0</v>
      </c>
    </row>
    <row r="86" spans="2:6" x14ac:dyDescent="0.2">
      <c r="B86" s="1" t="s">
        <v>43</v>
      </c>
      <c r="C86" s="1">
        <v>55</v>
      </c>
      <c r="D86" s="1" t="s">
        <v>184</v>
      </c>
      <c r="E86" s="1">
        <v>0</v>
      </c>
      <c r="F86" s="1">
        <v>0</v>
      </c>
    </row>
    <row r="87" spans="2:6" x14ac:dyDescent="0.2">
      <c r="B87" s="1" t="s">
        <v>43</v>
      </c>
      <c r="C87" s="1">
        <v>56</v>
      </c>
      <c r="D87" s="1" t="s">
        <v>185</v>
      </c>
      <c r="E87" s="1">
        <v>0</v>
      </c>
      <c r="F87" s="1">
        <v>0</v>
      </c>
    </row>
    <row r="88" spans="2:6" x14ac:dyDescent="0.2">
      <c r="B88" s="1" t="s">
        <v>43</v>
      </c>
      <c r="C88" s="1">
        <v>57</v>
      </c>
      <c r="D88" s="1" t="s">
        <v>186</v>
      </c>
      <c r="E88" s="1">
        <v>0</v>
      </c>
      <c r="F88" s="1">
        <v>0</v>
      </c>
    </row>
    <row r="89" spans="2:6" x14ac:dyDescent="0.2">
      <c r="B89" s="1" t="s">
        <v>43</v>
      </c>
      <c r="C89" s="1">
        <v>58</v>
      </c>
      <c r="D89" s="1" t="s">
        <v>187</v>
      </c>
      <c r="E89" s="1">
        <v>0</v>
      </c>
      <c r="F89" s="1">
        <v>0</v>
      </c>
    </row>
    <row r="90" spans="2:6" x14ac:dyDescent="0.2">
      <c r="B90" s="1" t="s">
        <v>43</v>
      </c>
      <c r="C90" s="1">
        <v>59</v>
      </c>
      <c r="D90" s="1" t="s">
        <v>188</v>
      </c>
      <c r="E90" s="1">
        <v>0</v>
      </c>
      <c r="F90" s="1">
        <v>0</v>
      </c>
    </row>
    <row r="91" spans="2:6" x14ac:dyDescent="0.2">
      <c r="B91" s="1" t="s">
        <v>43</v>
      </c>
      <c r="C91" s="1">
        <v>60</v>
      </c>
      <c r="D91" s="1" t="s">
        <v>189</v>
      </c>
      <c r="E91" s="1">
        <v>0</v>
      </c>
      <c r="F91" s="1">
        <v>0</v>
      </c>
    </row>
    <row r="92" spans="2:6" x14ac:dyDescent="0.2">
      <c r="B92" s="1" t="s">
        <v>43</v>
      </c>
      <c r="C92" s="1">
        <v>61</v>
      </c>
      <c r="D92" s="1" t="s">
        <v>190</v>
      </c>
      <c r="E92" s="1">
        <v>0</v>
      </c>
      <c r="F92" s="1">
        <v>0</v>
      </c>
    </row>
    <row r="93" spans="2:6" x14ac:dyDescent="0.2">
      <c r="B93" s="1" t="s">
        <v>43</v>
      </c>
      <c r="C93" s="1">
        <v>62</v>
      </c>
      <c r="D93" s="1" t="s">
        <v>191</v>
      </c>
      <c r="E93" s="1">
        <v>0</v>
      </c>
      <c r="F93" s="1">
        <v>0</v>
      </c>
    </row>
    <row r="94" spans="2:6" x14ac:dyDescent="0.2">
      <c r="B94" s="1" t="s">
        <v>43</v>
      </c>
      <c r="C94" s="1">
        <v>63</v>
      </c>
      <c r="D94" s="1" t="s">
        <v>192</v>
      </c>
      <c r="E94" s="1">
        <v>0</v>
      </c>
      <c r="F94" s="1">
        <v>0</v>
      </c>
    </row>
    <row r="95" spans="2:6" x14ac:dyDescent="0.2">
      <c r="B95" s="1" t="s">
        <v>43</v>
      </c>
      <c r="C95" s="1">
        <v>64</v>
      </c>
      <c r="D95" s="1" t="s">
        <v>193</v>
      </c>
      <c r="E95" s="1">
        <v>0</v>
      </c>
      <c r="F95" s="1">
        <v>0</v>
      </c>
    </row>
    <row r="96" spans="2:6" x14ac:dyDescent="0.2">
      <c r="B96" s="1" t="s">
        <v>43</v>
      </c>
      <c r="C96" s="1">
        <v>65</v>
      </c>
      <c r="D96" s="1" t="s">
        <v>194</v>
      </c>
      <c r="E96" s="1">
        <v>0</v>
      </c>
      <c r="F96" s="1">
        <v>0</v>
      </c>
    </row>
    <row r="97" spans="2:6" x14ac:dyDescent="0.2">
      <c r="B97" s="1" t="s">
        <v>43</v>
      </c>
      <c r="C97" s="1">
        <v>66</v>
      </c>
      <c r="D97" s="1" t="s">
        <v>195</v>
      </c>
      <c r="E97" s="1">
        <v>0</v>
      </c>
      <c r="F97" s="1">
        <v>0</v>
      </c>
    </row>
    <row r="98" spans="2:6" x14ac:dyDescent="0.2">
      <c r="B98" s="1" t="s">
        <v>43</v>
      </c>
      <c r="C98" s="1">
        <v>67</v>
      </c>
      <c r="D98" s="1" t="s">
        <v>196</v>
      </c>
      <c r="E98" s="1">
        <v>0</v>
      </c>
      <c r="F98" s="1">
        <v>0</v>
      </c>
    </row>
    <row r="99" spans="2:6" x14ac:dyDescent="0.2">
      <c r="B99" s="1" t="s">
        <v>43</v>
      </c>
      <c r="C99" s="1">
        <v>68</v>
      </c>
      <c r="D99" s="1" t="s">
        <v>197</v>
      </c>
      <c r="E99" s="1">
        <v>0</v>
      </c>
      <c r="F99" s="1">
        <v>0</v>
      </c>
    </row>
    <row r="100" spans="2:6" x14ac:dyDescent="0.2">
      <c r="B100" s="1" t="s">
        <v>43</v>
      </c>
      <c r="C100" s="1">
        <v>69</v>
      </c>
      <c r="D100" s="1" t="s">
        <v>198</v>
      </c>
      <c r="E100" s="1">
        <v>0</v>
      </c>
      <c r="F100" s="1">
        <v>0</v>
      </c>
    </row>
    <row r="101" spans="2:6" x14ac:dyDescent="0.2">
      <c r="B101" s="1" t="s">
        <v>43</v>
      </c>
      <c r="C101" s="1">
        <v>70</v>
      </c>
      <c r="D101" s="1" t="s">
        <v>199</v>
      </c>
      <c r="E101" s="1">
        <v>0</v>
      </c>
      <c r="F101" s="1">
        <v>0</v>
      </c>
    </row>
    <row r="102" spans="2:6" x14ac:dyDescent="0.2">
      <c r="B102" s="1" t="s">
        <v>43</v>
      </c>
      <c r="C102" s="1">
        <v>71</v>
      </c>
      <c r="D102" s="1" t="s">
        <v>200</v>
      </c>
      <c r="E102" s="1">
        <v>0</v>
      </c>
      <c r="F102" s="1">
        <v>0</v>
      </c>
    </row>
    <row r="103" spans="2:6" x14ac:dyDescent="0.2">
      <c r="B103" s="1" t="s">
        <v>43</v>
      </c>
      <c r="C103" s="1">
        <v>72</v>
      </c>
      <c r="D103" s="1" t="s">
        <v>201</v>
      </c>
      <c r="E103" s="1">
        <v>0</v>
      </c>
      <c r="F103" s="1">
        <v>0</v>
      </c>
    </row>
    <row r="104" spans="2:6" x14ac:dyDescent="0.2">
      <c r="B104" s="1" t="s">
        <v>43</v>
      </c>
      <c r="C104" s="1">
        <v>73</v>
      </c>
      <c r="D104" s="1" t="s">
        <v>202</v>
      </c>
      <c r="E104" s="1">
        <v>0</v>
      </c>
      <c r="F104" s="1">
        <v>0</v>
      </c>
    </row>
    <row r="105" spans="2:6" x14ac:dyDescent="0.2">
      <c r="B105" s="1" t="s">
        <v>43</v>
      </c>
      <c r="C105" s="1">
        <v>74</v>
      </c>
      <c r="D105" s="1" t="s">
        <v>203</v>
      </c>
      <c r="E105" s="1">
        <v>0</v>
      </c>
      <c r="F105" s="1">
        <v>0</v>
      </c>
    </row>
    <row r="106" spans="2:6" x14ac:dyDescent="0.2">
      <c r="B106" s="1" t="s">
        <v>43</v>
      </c>
      <c r="C106" s="1">
        <v>75</v>
      </c>
      <c r="D106" s="1" t="s">
        <v>204</v>
      </c>
      <c r="E106" s="1">
        <v>0</v>
      </c>
      <c r="F106" s="1">
        <v>0</v>
      </c>
    </row>
    <row r="107" spans="2:6" x14ac:dyDescent="0.2">
      <c r="B107" s="1" t="s">
        <v>43</v>
      </c>
      <c r="C107" s="1">
        <v>76</v>
      </c>
      <c r="D107" s="1" t="s">
        <v>205</v>
      </c>
      <c r="E107" s="1">
        <v>0</v>
      </c>
      <c r="F107" s="1">
        <v>0</v>
      </c>
    </row>
    <row r="108" spans="2:6" x14ac:dyDescent="0.2">
      <c r="B108" s="1" t="s">
        <v>43</v>
      </c>
      <c r="C108" s="1">
        <v>77</v>
      </c>
      <c r="D108" s="1" t="s">
        <v>206</v>
      </c>
      <c r="E108" s="1">
        <v>0</v>
      </c>
      <c r="F108" s="1">
        <v>0</v>
      </c>
    </row>
    <row r="109" spans="2:6" x14ac:dyDescent="0.2">
      <c r="B109" s="1" t="s">
        <v>43</v>
      </c>
      <c r="C109" s="1">
        <v>78</v>
      </c>
      <c r="D109" s="1" t="s">
        <v>207</v>
      </c>
      <c r="E109" s="1">
        <v>0</v>
      </c>
      <c r="F109" s="1">
        <v>0</v>
      </c>
    </row>
    <row r="110" spans="2:6" x14ac:dyDescent="0.2">
      <c r="B110" s="1" t="s">
        <v>43</v>
      </c>
      <c r="C110" s="1">
        <v>79</v>
      </c>
      <c r="D110" s="1" t="s">
        <v>208</v>
      </c>
      <c r="E110" s="1">
        <v>0</v>
      </c>
      <c r="F110" s="1">
        <v>0</v>
      </c>
    </row>
    <row r="111" spans="2:6" x14ac:dyDescent="0.2">
      <c r="B111" s="1" t="s">
        <v>43</v>
      </c>
      <c r="C111" s="1">
        <v>80</v>
      </c>
      <c r="D111" s="1" t="s">
        <v>209</v>
      </c>
      <c r="E111" s="1">
        <v>0</v>
      </c>
      <c r="F111" s="1">
        <v>0</v>
      </c>
    </row>
    <row r="112" spans="2:6" x14ac:dyDescent="0.2">
      <c r="B112" s="1" t="s">
        <v>43</v>
      </c>
      <c r="C112" s="1">
        <v>81</v>
      </c>
      <c r="D112" s="1" t="s">
        <v>210</v>
      </c>
      <c r="E112" s="1">
        <v>0</v>
      </c>
      <c r="F112" s="1">
        <v>0</v>
      </c>
    </row>
    <row r="113" spans="2:6" x14ac:dyDescent="0.2">
      <c r="B113" s="1" t="s">
        <v>43</v>
      </c>
      <c r="C113" s="1">
        <v>82</v>
      </c>
      <c r="D113" s="1" t="s">
        <v>211</v>
      </c>
      <c r="E113" s="1">
        <v>0</v>
      </c>
      <c r="F113" s="1">
        <v>0</v>
      </c>
    </row>
    <row r="114" spans="2:6" x14ac:dyDescent="0.2">
      <c r="B114" s="1" t="s">
        <v>43</v>
      </c>
      <c r="C114" s="1">
        <v>83</v>
      </c>
      <c r="D114" s="1" t="s">
        <v>212</v>
      </c>
      <c r="E114" s="1">
        <v>0</v>
      </c>
      <c r="F114" s="1">
        <v>0</v>
      </c>
    </row>
    <row r="115" spans="2:6" x14ac:dyDescent="0.2">
      <c r="B115" s="1" t="s">
        <v>43</v>
      </c>
      <c r="C115" s="1">
        <v>84</v>
      </c>
      <c r="D115" s="1" t="s">
        <v>213</v>
      </c>
      <c r="E115" s="1">
        <v>0</v>
      </c>
      <c r="F115" s="1">
        <v>0</v>
      </c>
    </row>
    <row r="116" spans="2:6" x14ac:dyDescent="0.2">
      <c r="B116" s="1" t="s">
        <v>43</v>
      </c>
      <c r="C116" s="1">
        <v>85</v>
      </c>
      <c r="D116" s="1" t="s">
        <v>214</v>
      </c>
      <c r="E116" s="1">
        <v>0</v>
      </c>
      <c r="F116" s="1">
        <v>0</v>
      </c>
    </row>
    <row r="117" spans="2:6" x14ac:dyDescent="0.2">
      <c r="B117" s="1" t="s">
        <v>43</v>
      </c>
      <c r="C117" s="1">
        <v>86</v>
      </c>
      <c r="D117" s="1" t="s">
        <v>215</v>
      </c>
      <c r="E117" s="1">
        <v>0</v>
      </c>
      <c r="F117" s="1">
        <v>0</v>
      </c>
    </row>
    <row r="118" spans="2:6" x14ac:dyDescent="0.2">
      <c r="B118" s="1" t="s">
        <v>43</v>
      </c>
      <c r="C118" s="1">
        <v>87</v>
      </c>
      <c r="D118" s="1" t="s">
        <v>216</v>
      </c>
      <c r="E118" s="1">
        <v>0</v>
      </c>
      <c r="F118" s="1">
        <v>0</v>
      </c>
    </row>
    <row r="119" spans="2:6" x14ac:dyDescent="0.2">
      <c r="B119" s="1" t="s">
        <v>43</v>
      </c>
      <c r="C119" s="1">
        <v>88</v>
      </c>
      <c r="D119" s="1" t="s">
        <v>217</v>
      </c>
      <c r="E119" s="1">
        <v>0</v>
      </c>
      <c r="F119" s="1">
        <v>0</v>
      </c>
    </row>
    <row r="120" spans="2:6" x14ac:dyDescent="0.2">
      <c r="B120" s="1" t="s">
        <v>43</v>
      </c>
      <c r="C120" s="1">
        <v>89</v>
      </c>
      <c r="D120" s="1" t="s">
        <v>218</v>
      </c>
      <c r="E120" s="1">
        <v>0</v>
      </c>
      <c r="F120" s="1">
        <v>0</v>
      </c>
    </row>
    <row r="121" spans="2:6" x14ac:dyDescent="0.2">
      <c r="B121" s="1" t="s">
        <v>43</v>
      </c>
      <c r="C121" s="1">
        <v>90</v>
      </c>
      <c r="D121" s="1" t="s">
        <v>219</v>
      </c>
      <c r="E121" s="1">
        <v>0</v>
      </c>
      <c r="F121" s="1">
        <v>0</v>
      </c>
    </row>
    <row r="122" spans="2:6" x14ac:dyDescent="0.2">
      <c r="B122" s="1" t="s">
        <v>43</v>
      </c>
      <c r="C122" s="1">
        <v>91</v>
      </c>
      <c r="D122" s="1" t="s">
        <v>220</v>
      </c>
      <c r="E122" s="1">
        <v>0</v>
      </c>
      <c r="F122" s="1">
        <v>0</v>
      </c>
    </row>
    <row r="123" spans="2:6" x14ac:dyDescent="0.2">
      <c r="B123" s="1" t="s">
        <v>43</v>
      </c>
      <c r="C123" s="1">
        <v>92</v>
      </c>
      <c r="D123" s="1" t="s">
        <v>221</v>
      </c>
      <c r="E123" s="1">
        <v>0</v>
      </c>
      <c r="F123" s="1">
        <v>0</v>
      </c>
    </row>
    <row r="124" spans="2:6" x14ac:dyDescent="0.2">
      <c r="B124" s="1" t="s">
        <v>43</v>
      </c>
      <c r="C124" s="1">
        <v>93</v>
      </c>
      <c r="D124" s="1" t="s">
        <v>222</v>
      </c>
      <c r="E124" s="1">
        <v>0</v>
      </c>
      <c r="F124" s="1">
        <v>0</v>
      </c>
    </row>
    <row r="125" spans="2:6" x14ac:dyDescent="0.2">
      <c r="B125" s="1" t="s">
        <v>43</v>
      </c>
      <c r="C125" s="1">
        <v>94</v>
      </c>
      <c r="D125" s="1" t="s">
        <v>223</v>
      </c>
      <c r="E125" s="1">
        <v>0</v>
      </c>
      <c r="F125" s="1">
        <v>0</v>
      </c>
    </row>
    <row r="126" spans="2:6" x14ac:dyDescent="0.2">
      <c r="B126" s="1" t="s">
        <v>43</v>
      </c>
      <c r="C126" s="1">
        <v>95</v>
      </c>
      <c r="D126" s="1" t="s">
        <v>224</v>
      </c>
      <c r="E126" s="1">
        <v>0</v>
      </c>
      <c r="F126" s="1">
        <v>0</v>
      </c>
    </row>
    <row r="127" spans="2:6" x14ac:dyDescent="0.2">
      <c r="B127" s="1" t="s">
        <v>43</v>
      </c>
      <c r="C127" s="1">
        <v>96</v>
      </c>
      <c r="D127" s="1" t="s">
        <v>225</v>
      </c>
      <c r="E127" s="1">
        <v>0</v>
      </c>
      <c r="F127" s="1">
        <v>0</v>
      </c>
    </row>
    <row r="128" spans="2:6" x14ac:dyDescent="0.2">
      <c r="B128" s="1" t="s">
        <v>43</v>
      </c>
      <c r="C128" s="1">
        <v>97</v>
      </c>
      <c r="D128" s="1" t="s">
        <v>226</v>
      </c>
      <c r="E128" s="1">
        <v>0</v>
      </c>
      <c r="F128" s="1">
        <v>0</v>
      </c>
    </row>
    <row r="129" spans="2:6" x14ac:dyDescent="0.2">
      <c r="B129" s="1" t="s">
        <v>43</v>
      </c>
      <c r="C129" s="1">
        <v>98</v>
      </c>
      <c r="D129" s="1" t="s">
        <v>227</v>
      </c>
      <c r="E129" s="1">
        <v>0</v>
      </c>
      <c r="F129" s="1">
        <v>0</v>
      </c>
    </row>
    <row r="130" spans="2:6" x14ac:dyDescent="0.2">
      <c r="B130" s="1" t="s">
        <v>43</v>
      </c>
      <c r="C130" s="1">
        <v>99</v>
      </c>
      <c r="D130" s="1" t="s">
        <v>228</v>
      </c>
      <c r="E130" s="1">
        <v>0</v>
      </c>
      <c r="F130" s="1">
        <v>0</v>
      </c>
    </row>
    <row r="131" spans="2:6" x14ac:dyDescent="0.2">
      <c r="B131" s="1" t="s">
        <v>43</v>
      </c>
      <c r="C131" s="1">
        <v>100</v>
      </c>
      <c r="D131" s="1" t="s">
        <v>229</v>
      </c>
      <c r="E131" s="1">
        <v>0</v>
      </c>
      <c r="F131" s="1">
        <v>0</v>
      </c>
    </row>
    <row r="132" spans="2:6" x14ac:dyDescent="0.2">
      <c r="B132" s="1" t="s">
        <v>43</v>
      </c>
      <c r="C132" s="1">
        <v>101</v>
      </c>
      <c r="D132" s="1" t="s">
        <v>230</v>
      </c>
      <c r="E132" s="1">
        <v>0</v>
      </c>
      <c r="F132" s="1">
        <v>0</v>
      </c>
    </row>
    <row r="133" spans="2:6" x14ac:dyDescent="0.2">
      <c r="B133" s="1" t="s">
        <v>43</v>
      </c>
      <c r="C133" s="1">
        <v>102</v>
      </c>
      <c r="D133" s="1" t="s">
        <v>231</v>
      </c>
      <c r="E133" s="1">
        <v>0</v>
      </c>
      <c r="F133" s="1">
        <v>0</v>
      </c>
    </row>
    <row r="134" spans="2:6" x14ac:dyDescent="0.2">
      <c r="B134" s="1" t="s">
        <v>43</v>
      </c>
      <c r="C134" s="1">
        <v>103</v>
      </c>
      <c r="D134" s="1" t="s">
        <v>232</v>
      </c>
      <c r="E134" s="1">
        <v>0</v>
      </c>
      <c r="F134" s="1">
        <v>0</v>
      </c>
    </row>
    <row r="135" spans="2:6" x14ac:dyDescent="0.2">
      <c r="B135" s="1" t="s">
        <v>43</v>
      </c>
      <c r="C135" s="1">
        <v>104</v>
      </c>
      <c r="D135" s="1" t="s">
        <v>233</v>
      </c>
      <c r="E135" s="1">
        <v>0</v>
      </c>
      <c r="F135" s="1">
        <v>0</v>
      </c>
    </row>
    <row r="136" spans="2:6" x14ac:dyDescent="0.2">
      <c r="B136" s="1" t="s">
        <v>43</v>
      </c>
      <c r="C136" s="1">
        <v>105</v>
      </c>
      <c r="D136" s="1" t="s">
        <v>234</v>
      </c>
      <c r="E136" s="1">
        <v>0</v>
      </c>
      <c r="F136" s="1">
        <v>0</v>
      </c>
    </row>
    <row r="137" spans="2:6" x14ac:dyDescent="0.2">
      <c r="B137" s="1" t="s">
        <v>43</v>
      </c>
      <c r="C137" s="1">
        <v>106</v>
      </c>
      <c r="D137" s="1" t="s">
        <v>235</v>
      </c>
      <c r="E137" s="1">
        <v>0</v>
      </c>
      <c r="F137" s="1">
        <v>0</v>
      </c>
    </row>
    <row r="138" spans="2:6" x14ac:dyDescent="0.2">
      <c r="B138" s="1" t="s">
        <v>43</v>
      </c>
      <c r="C138" s="1">
        <v>107</v>
      </c>
      <c r="D138" s="1" t="s">
        <v>236</v>
      </c>
      <c r="E138" s="1">
        <v>0</v>
      </c>
      <c r="F138" s="1">
        <v>0</v>
      </c>
    </row>
    <row r="139" spans="2:6" x14ac:dyDescent="0.2">
      <c r="B139" s="1" t="s">
        <v>43</v>
      </c>
      <c r="C139" s="1">
        <v>108</v>
      </c>
      <c r="D139" s="1" t="s">
        <v>237</v>
      </c>
      <c r="E139" s="1">
        <v>0</v>
      </c>
      <c r="F139" s="1">
        <v>0</v>
      </c>
    </row>
    <row r="140" spans="2:6" x14ac:dyDescent="0.2">
      <c r="B140" s="1" t="s">
        <v>43</v>
      </c>
      <c r="C140" s="1">
        <v>109</v>
      </c>
      <c r="D140" s="1" t="s">
        <v>238</v>
      </c>
      <c r="E140" s="1">
        <v>0</v>
      </c>
      <c r="F140" s="1">
        <v>0</v>
      </c>
    </row>
    <row r="141" spans="2:6" x14ac:dyDescent="0.2">
      <c r="B141" s="1" t="s">
        <v>43</v>
      </c>
      <c r="C141" s="1">
        <v>110</v>
      </c>
      <c r="D141" s="1" t="s">
        <v>239</v>
      </c>
      <c r="E141" s="1">
        <v>0</v>
      </c>
      <c r="F141" s="1">
        <v>0</v>
      </c>
    </row>
    <row r="142" spans="2:6" x14ac:dyDescent="0.2">
      <c r="B142" s="1" t="s">
        <v>43</v>
      </c>
      <c r="C142" s="1">
        <v>111</v>
      </c>
      <c r="D142" s="1" t="s">
        <v>240</v>
      </c>
      <c r="E142" s="1">
        <v>0</v>
      </c>
      <c r="F142" s="1">
        <v>0</v>
      </c>
    </row>
    <row r="143" spans="2:6" x14ac:dyDescent="0.2">
      <c r="B143" s="1" t="s">
        <v>43</v>
      </c>
      <c r="C143" s="1">
        <v>112</v>
      </c>
      <c r="D143" s="1" t="s">
        <v>241</v>
      </c>
      <c r="E143" s="1">
        <v>0</v>
      </c>
      <c r="F143" s="1">
        <v>0</v>
      </c>
    </row>
    <row r="144" spans="2:6" x14ac:dyDescent="0.2">
      <c r="B144" s="1" t="s">
        <v>43</v>
      </c>
      <c r="C144" s="1">
        <v>113</v>
      </c>
      <c r="D144" s="1" t="s">
        <v>242</v>
      </c>
      <c r="E144" s="1">
        <v>0</v>
      </c>
      <c r="F144" s="1">
        <v>0</v>
      </c>
    </row>
    <row r="145" spans="2:6" x14ac:dyDescent="0.2">
      <c r="B145" s="1" t="s">
        <v>43</v>
      </c>
      <c r="C145" s="1">
        <v>114</v>
      </c>
      <c r="D145" s="1" t="s">
        <v>243</v>
      </c>
      <c r="E145" s="1">
        <v>0</v>
      </c>
      <c r="F145" s="1">
        <v>0</v>
      </c>
    </row>
    <row r="146" spans="2:6" x14ac:dyDescent="0.2">
      <c r="B146" s="1" t="s">
        <v>43</v>
      </c>
      <c r="C146" s="1">
        <v>115</v>
      </c>
      <c r="D146" s="1" t="s">
        <v>244</v>
      </c>
      <c r="E146" s="1">
        <v>0</v>
      </c>
      <c r="F146" s="1">
        <v>0</v>
      </c>
    </row>
    <row r="147" spans="2:6" x14ac:dyDescent="0.2">
      <c r="B147" s="1" t="s">
        <v>43</v>
      </c>
      <c r="C147" s="1">
        <v>116</v>
      </c>
      <c r="D147" s="1" t="s">
        <v>245</v>
      </c>
      <c r="E147" s="1">
        <v>0</v>
      </c>
      <c r="F147" s="1">
        <v>0</v>
      </c>
    </row>
    <row r="148" spans="2:6" x14ac:dyDescent="0.2">
      <c r="B148" s="1" t="s">
        <v>43</v>
      </c>
      <c r="C148" s="1">
        <v>117</v>
      </c>
      <c r="D148" s="1" t="s">
        <v>246</v>
      </c>
      <c r="E148" s="1">
        <v>0</v>
      </c>
      <c r="F148" s="1">
        <v>0</v>
      </c>
    </row>
    <row r="149" spans="2:6" x14ac:dyDescent="0.2">
      <c r="B149" s="1" t="s">
        <v>43</v>
      </c>
      <c r="C149" s="1">
        <v>118</v>
      </c>
      <c r="D149" s="1" t="s">
        <v>247</v>
      </c>
      <c r="E149" s="1">
        <v>0</v>
      </c>
      <c r="F149" s="1">
        <v>0</v>
      </c>
    </row>
    <row r="150" spans="2:6" x14ac:dyDescent="0.2">
      <c r="B150" s="1" t="s">
        <v>43</v>
      </c>
      <c r="C150" s="1">
        <v>119</v>
      </c>
      <c r="D150" s="1" t="s">
        <v>248</v>
      </c>
      <c r="E150" s="1">
        <v>0</v>
      </c>
      <c r="F150" s="1">
        <v>0</v>
      </c>
    </row>
    <row r="151" spans="2:6" x14ac:dyDescent="0.2">
      <c r="B151" s="1" t="s">
        <v>43</v>
      </c>
      <c r="C151" s="1">
        <v>120</v>
      </c>
      <c r="D151" s="1" t="s">
        <v>249</v>
      </c>
      <c r="E151" s="1">
        <v>0</v>
      </c>
      <c r="F151" s="1">
        <v>0</v>
      </c>
    </row>
    <row r="152" spans="2:6" x14ac:dyDescent="0.2">
      <c r="B152" s="1" t="s">
        <v>43</v>
      </c>
      <c r="C152" s="1">
        <v>121</v>
      </c>
      <c r="D152" s="1" t="s">
        <v>250</v>
      </c>
      <c r="E152" s="1">
        <v>0</v>
      </c>
      <c r="F152" s="1">
        <v>0</v>
      </c>
    </row>
    <row r="153" spans="2:6" x14ac:dyDescent="0.2">
      <c r="B153" s="1" t="s">
        <v>43</v>
      </c>
      <c r="C153" s="1">
        <v>122</v>
      </c>
      <c r="D153" s="1" t="s">
        <v>251</v>
      </c>
      <c r="E153" s="1">
        <v>0</v>
      </c>
      <c r="F153" s="1">
        <v>0</v>
      </c>
    </row>
    <row r="154" spans="2:6" x14ac:dyDescent="0.2">
      <c r="B154" s="1" t="s">
        <v>43</v>
      </c>
      <c r="C154" s="1">
        <v>123</v>
      </c>
      <c r="D154" s="1" t="s">
        <v>252</v>
      </c>
      <c r="E154" s="1">
        <v>0</v>
      </c>
      <c r="F154" s="1">
        <v>0</v>
      </c>
    </row>
    <row r="155" spans="2:6" x14ac:dyDescent="0.2">
      <c r="B155" s="1" t="s">
        <v>43</v>
      </c>
      <c r="C155" s="1">
        <v>124</v>
      </c>
      <c r="D155" s="1" t="s">
        <v>253</v>
      </c>
      <c r="E155" s="1">
        <v>0</v>
      </c>
      <c r="F155" s="1">
        <v>0</v>
      </c>
    </row>
    <row r="156" spans="2:6" x14ac:dyDescent="0.2">
      <c r="B156" s="1" t="s">
        <v>43</v>
      </c>
      <c r="C156" s="1">
        <v>125</v>
      </c>
      <c r="D156" s="1" t="s">
        <v>254</v>
      </c>
      <c r="E156" s="1">
        <v>0</v>
      </c>
      <c r="F156" s="1">
        <v>0</v>
      </c>
    </row>
    <row r="157" spans="2:6" x14ac:dyDescent="0.2">
      <c r="B157" s="1" t="s">
        <v>43</v>
      </c>
      <c r="C157" s="1">
        <v>126</v>
      </c>
      <c r="D157" s="1" t="s">
        <v>255</v>
      </c>
      <c r="E157" s="1">
        <v>0</v>
      </c>
      <c r="F157" s="1">
        <v>0</v>
      </c>
    </row>
    <row r="158" spans="2:6" x14ac:dyDescent="0.2">
      <c r="B158" s="1" t="s">
        <v>43</v>
      </c>
      <c r="C158" s="1">
        <v>127</v>
      </c>
      <c r="D158" s="1" t="s">
        <v>256</v>
      </c>
      <c r="E158" s="1">
        <v>0</v>
      </c>
      <c r="F158" s="1">
        <v>0</v>
      </c>
    </row>
    <row r="159" spans="2:6" x14ac:dyDescent="0.2">
      <c r="B159" s="1" t="s">
        <v>43</v>
      </c>
      <c r="C159" s="1">
        <v>128</v>
      </c>
      <c r="D159" s="1" t="s">
        <v>257</v>
      </c>
      <c r="E159" s="1">
        <v>0</v>
      </c>
      <c r="F159" s="1">
        <v>0</v>
      </c>
    </row>
    <row r="160" spans="2:6" x14ac:dyDescent="0.2">
      <c r="B160" s="1" t="s">
        <v>43</v>
      </c>
      <c r="C160" s="1">
        <v>129</v>
      </c>
      <c r="D160" s="1" t="s">
        <v>258</v>
      </c>
      <c r="E160" s="1">
        <v>0</v>
      </c>
      <c r="F160" s="1">
        <v>0</v>
      </c>
    </row>
    <row r="161" spans="2:6" x14ac:dyDescent="0.2">
      <c r="B161" s="1" t="s">
        <v>43</v>
      </c>
      <c r="C161" s="1">
        <v>130</v>
      </c>
      <c r="D161" s="1" t="s">
        <v>259</v>
      </c>
      <c r="E161" s="1">
        <v>0</v>
      </c>
      <c r="F161" s="1">
        <v>0</v>
      </c>
    </row>
    <row r="162" spans="2:6" x14ac:dyDescent="0.2">
      <c r="B162" s="1" t="s">
        <v>43</v>
      </c>
      <c r="C162" s="1">
        <v>131</v>
      </c>
      <c r="D162" s="1" t="s">
        <v>260</v>
      </c>
      <c r="E162" s="1">
        <v>0</v>
      </c>
      <c r="F162" s="1">
        <v>0</v>
      </c>
    </row>
    <row r="163" spans="2:6" x14ac:dyDescent="0.2">
      <c r="B163" s="1" t="s">
        <v>43</v>
      </c>
      <c r="C163" s="1">
        <v>132</v>
      </c>
      <c r="D163" s="1" t="s">
        <v>261</v>
      </c>
      <c r="E163" s="1">
        <v>0</v>
      </c>
      <c r="F163" s="1">
        <v>0</v>
      </c>
    </row>
    <row r="164" spans="2:6" x14ac:dyDescent="0.2">
      <c r="B164" s="1" t="s">
        <v>43</v>
      </c>
      <c r="C164" s="1">
        <v>133</v>
      </c>
      <c r="D164" s="1" t="s">
        <v>262</v>
      </c>
      <c r="E164" s="1">
        <v>0</v>
      </c>
      <c r="F164" s="1">
        <v>0</v>
      </c>
    </row>
    <row r="165" spans="2:6" x14ac:dyDescent="0.2">
      <c r="B165" s="1" t="s">
        <v>43</v>
      </c>
      <c r="C165" s="1">
        <v>134</v>
      </c>
      <c r="D165" s="1" t="s">
        <v>263</v>
      </c>
      <c r="E165" s="1">
        <v>0</v>
      </c>
      <c r="F165" s="1">
        <v>0</v>
      </c>
    </row>
    <row r="166" spans="2:6" x14ac:dyDescent="0.2">
      <c r="B166" s="1" t="s">
        <v>43</v>
      </c>
      <c r="C166" s="1">
        <v>135</v>
      </c>
      <c r="D166" s="1" t="s">
        <v>264</v>
      </c>
      <c r="E166" s="1">
        <v>0</v>
      </c>
      <c r="F166" s="1">
        <v>0</v>
      </c>
    </row>
    <row r="167" spans="2:6" x14ac:dyDescent="0.2">
      <c r="B167" s="1" t="s">
        <v>43</v>
      </c>
      <c r="C167" s="1">
        <v>136</v>
      </c>
      <c r="D167" s="1" t="s">
        <v>265</v>
      </c>
      <c r="E167" s="1">
        <v>0</v>
      </c>
      <c r="F167" s="1">
        <v>0</v>
      </c>
    </row>
    <row r="168" spans="2:6" x14ac:dyDescent="0.2">
      <c r="B168" s="1" t="s">
        <v>43</v>
      </c>
      <c r="C168" s="1">
        <v>137</v>
      </c>
      <c r="D168" s="1" t="s">
        <v>266</v>
      </c>
      <c r="E168" s="1">
        <v>0</v>
      </c>
      <c r="F168" s="1">
        <v>0</v>
      </c>
    </row>
    <row r="169" spans="2:6" x14ac:dyDescent="0.2">
      <c r="B169" s="1" t="s">
        <v>43</v>
      </c>
      <c r="C169" s="1">
        <v>138</v>
      </c>
      <c r="D169" s="1" t="s">
        <v>267</v>
      </c>
      <c r="E169" s="1">
        <v>0</v>
      </c>
      <c r="F169" s="1">
        <v>0</v>
      </c>
    </row>
    <row r="170" spans="2:6" x14ac:dyDescent="0.2">
      <c r="B170" s="1" t="s">
        <v>43</v>
      </c>
      <c r="C170" s="1">
        <v>139</v>
      </c>
      <c r="D170" s="1" t="s">
        <v>268</v>
      </c>
      <c r="E170" s="1">
        <v>0</v>
      </c>
      <c r="F170" s="1">
        <v>0</v>
      </c>
    </row>
    <row r="171" spans="2:6" x14ac:dyDescent="0.2">
      <c r="B171" s="1" t="s">
        <v>43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43</v>
      </c>
      <c r="C172" s="1">
        <v>141</v>
      </c>
      <c r="D172" s="1" t="s">
        <v>269</v>
      </c>
      <c r="E172" s="1">
        <v>0</v>
      </c>
      <c r="F172" s="1">
        <v>0</v>
      </c>
    </row>
    <row r="173" spans="2:6" x14ac:dyDescent="0.2">
      <c r="B173" s="1" t="s">
        <v>43</v>
      </c>
      <c r="C173" s="1">
        <v>142</v>
      </c>
      <c r="D173" s="1" t="s">
        <v>270</v>
      </c>
      <c r="E173" s="1">
        <v>0</v>
      </c>
      <c r="F173" s="1">
        <v>0</v>
      </c>
    </row>
    <row r="174" spans="2:6" x14ac:dyDescent="0.2">
      <c r="B174" s="1" t="s">
        <v>43</v>
      </c>
      <c r="C174" s="1">
        <v>143</v>
      </c>
      <c r="D174" s="1" t="s">
        <v>271</v>
      </c>
      <c r="E174" s="1">
        <v>0</v>
      </c>
      <c r="F174" s="1">
        <v>0</v>
      </c>
    </row>
    <row r="175" spans="2:6" x14ac:dyDescent="0.2">
      <c r="B175" s="1" t="s">
        <v>43</v>
      </c>
      <c r="C175" s="1">
        <v>144</v>
      </c>
      <c r="D175" s="1" t="s">
        <v>272</v>
      </c>
      <c r="E175" s="1">
        <v>0</v>
      </c>
      <c r="F175" s="1">
        <v>0</v>
      </c>
    </row>
    <row r="176" spans="2:6" x14ac:dyDescent="0.2">
      <c r="B176" s="1" t="s">
        <v>43</v>
      </c>
      <c r="C176" s="1">
        <v>145</v>
      </c>
      <c r="D176" s="1" t="s">
        <v>273</v>
      </c>
      <c r="E176" s="1">
        <v>0</v>
      </c>
      <c r="F176" s="1">
        <v>0</v>
      </c>
    </row>
    <row r="177" spans="2:6" x14ac:dyDescent="0.2">
      <c r="B177" s="1" t="s">
        <v>43</v>
      </c>
      <c r="C177" s="1">
        <v>146</v>
      </c>
      <c r="D177" s="1" t="s">
        <v>274</v>
      </c>
      <c r="E177" s="1">
        <v>0</v>
      </c>
      <c r="F177" s="1">
        <v>0</v>
      </c>
    </row>
    <row r="178" spans="2:6" x14ac:dyDescent="0.2">
      <c r="B178" s="1" t="s">
        <v>43</v>
      </c>
      <c r="C178" s="1">
        <v>147</v>
      </c>
      <c r="D178" s="1" t="s">
        <v>275</v>
      </c>
      <c r="E178" s="1">
        <v>0</v>
      </c>
      <c r="F178" s="1">
        <v>0</v>
      </c>
    </row>
    <row r="179" spans="2:6" x14ac:dyDescent="0.2">
      <c r="B179" s="1" t="s">
        <v>43</v>
      </c>
      <c r="C179" s="1">
        <v>148</v>
      </c>
      <c r="D179" s="1" t="s">
        <v>276</v>
      </c>
      <c r="E179" s="1">
        <v>0</v>
      </c>
      <c r="F179" s="1">
        <v>0</v>
      </c>
    </row>
    <row r="180" spans="2:6" x14ac:dyDescent="0.2">
      <c r="B180" s="1" t="s">
        <v>43</v>
      </c>
      <c r="C180" s="1">
        <v>149</v>
      </c>
      <c r="D180" s="1" t="s">
        <v>277</v>
      </c>
      <c r="E180" s="1">
        <v>0</v>
      </c>
      <c r="F180" s="1">
        <v>0</v>
      </c>
    </row>
    <row r="181" spans="2:6" x14ac:dyDescent="0.2">
      <c r="B181" s="1" t="s">
        <v>43</v>
      </c>
      <c r="C181" s="1">
        <v>150</v>
      </c>
      <c r="D181" s="1" t="s">
        <v>278</v>
      </c>
      <c r="E181" s="1">
        <v>0</v>
      </c>
      <c r="F181" s="1">
        <v>0</v>
      </c>
    </row>
    <row r="182" spans="2:6" x14ac:dyDescent="0.2">
      <c r="B182" s="1" t="s">
        <v>43</v>
      </c>
      <c r="C182" s="1">
        <v>151</v>
      </c>
      <c r="D182" s="1" t="s">
        <v>279</v>
      </c>
      <c r="E182" s="1">
        <v>0</v>
      </c>
      <c r="F182" s="1">
        <v>0</v>
      </c>
    </row>
    <row r="183" spans="2:6" x14ac:dyDescent="0.2">
      <c r="B183" s="1" t="s">
        <v>43</v>
      </c>
      <c r="C183" s="1">
        <v>152</v>
      </c>
      <c r="D183" s="1" t="s">
        <v>280</v>
      </c>
      <c r="E183" s="1">
        <v>0</v>
      </c>
      <c r="F183" s="1">
        <v>0</v>
      </c>
    </row>
    <row r="184" spans="2:6" x14ac:dyDescent="0.2">
      <c r="B184" s="1" t="s">
        <v>43</v>
      </c>
      <c r="C184" s="1">
        <v>153</v>
      </c>
      <c r="D184" s="1" t="s">
        <v>281</v>
      </c>
      <c r="E184" s="1">
        <v>0</v>
      </c>
      <c r="F184" s="1">
        <v>0</v>
      </c>
    </row>
    <row r="185" spans="2:6" x14ac:dyDescent="0.2">
      <c r="B185" s="1" t="s">
        <v>43</v>
      </c>
      <c r="C185" s="1">
        <v>154</v>
      </c>
      <c r="D185" s="1" t="s">
        <v>282</v>
      </c>
      <c r="E185" s="1">
        <v>0</v>
      </c>
      <c r="F185" s="1">
        <v>0</v>
      </c>
    </row>
    <row r="186" spans="2:6" x14ac:dyDescent="0.2">
      <c r="B186" s="1" t="s">
        <v>43</v>
      </c>
      <c r="C186" s="1">
        <v>155</v>
      </c>
      <c r="D186" s="1" t="s">
        <v>283</v>
      </c>
      <c r="E186" s="1">
        <v>0</v>
      </c>
      <c r="F186" s="1">
        <v>0</v>
      </c>
    </row>
    <row r="187" spans="2:6" x14ac:dyDescent="0.2">
      <c r="B187" s="1" t="s">
        <v>43</v>
      </c>
      <c r="C187" s="1">
        <v>156</v>
      </c>
      <c r="D187" s="1" t="s">
        <v>284</v>
      </c>
      <c r="E187" s="1">
        <v>0</v>
      </c>
      <c r="F187" s="1">
        <v>0</v>
      </c>
    </row>
    <row r="188" spans="2:6" x14ac:dyDescent="0.2">
      <c r="B188" s="1" t="s">
        <v>43</v>
      </c>
      <c r="C188" s="1">
        <v>157</v>
      </c>
      <c r="D188" s="1" t="s">
        <v>285</v>
      </c>
      <c r="E188" s="1">
        <v>0</v>
      </c>
      <c r="F188" s="1">
        <v>0</v>
      </c>
    </row>
    <row r="189" spans="2:6" x14ac:dyDescent="0.2">
      <c r="B189" s="1" t="s">
        <v>43</v>
      </c>
      <c r="C189" s="1">
        <v>158</v>
      </c>
      <c r="D189" s="1" t="s">
        <v>286</v>
      </c>
      <c r="E189" s="1">
        <v>0</v>
      </c>
      <c r="F189" s="1">
        <v>0</v>
      </c>
    </row>
    <row r="190" spans="2:6" x14ac:dyDescent="0.2">
      <c r="B190" s="1" t="s">
        <v>43</v>
      </c>
      <c r="C190" s="1">
        <v>159</v>
      </c>
      <c r="D190" s="1" t="s">
        <v>287</v>
      </c>
      <c r="E190" s="1">
        <v>0</v>
      </c>
      <c r="F190" s="1">
        <v>0</v>
      </c>
    </row>
    <row r="191" spans="2:6" x14ac:dyDescent="0.2">
      <c r="B191" s="1" t="s">
        <v>43</v>
      </c>
      <c r="C191" s="1">
        <v>160</v>
      </c>
      <c r="D191" s="1" t="s">
        <v>288</v>
      </c>
      <c r="E191" s="1">
        <v>0</v>
      </c>
      <c r="F191" s="1">
        <v>0</v>
      </c>
    </row>
    <row r="192" spans="2:6" x14ac:dyDescent="0.2">
      <c r="B192" s="1" t="s">
        <v>43</v>
      </c>
      <c r="C192" s="1">
        <v>161</v>
      </c>
      <c r="D192" s="1" t="s">
        <v>289</v>
      </c>
      <c r="E192" s="1">
        <v>0</v>
      </c>
      <c r="F192" s="1">
        <v>0</v>
      </c>
    </row>
    <row r="193" spans="2:6" x14ac:dyDescent="0.2">
      <c r="B193" s="1" t="s">
        <v>43</v>
      </c>
      <c r="C193" s="1">
        <v>162</v>
      </c>
      <c r="D193" s="1" t="s">
        <v>290</v>
      </c>
      <c r="E193" s="1">
        <v>0</v>
      </c>
      <c r="F193" s="1">
        <v>0</v>
      </c>
    </row>
    <row r="194" spans="2:6" x14ac:dyDescent="0.2">
      <c r="B194" s="1" t="s">
        <v>43</v>
      </c>
      <c r="C194" s="1">
        <v>163</v>
      </c>
      <c r="D194" s="1" t="s">
        <v>291</v>
      </c>
      <c r="E194" s="1">
        <v>0</v>
      </c>
      <c r="F194" s="1">
        <v>0</v>
      </c>
    </row>
    <row r="195" spans="2:6" x14ac:dyDescent="0.2">
      <c r="B195" s="1" t="s">
        <v>43</v>
      </c>
      <c r="C195" s="1">
        <v>164</v>
      </c>
      <c r="D195" s="1" t="s">
        <v>292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100</v>
      </c>
      <c r="C6" s="19" t="s">
        <v>1213</v>
      </c>
    </row>
    <row r="7" spans="1:6" x14ac:dyDescent="0.2">
      <c r="B7" s="4" t="s">
        <v>101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299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296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297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296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297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296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297</v>
      </c>
      <c r="E26" s="21">
        <v>291461.27729021001</v>
      </c>
      <c r="F26" s="23" t="s">
        <v>21</v>
      </c>
    </row>
    <row r="28" spans="1:6" x14ac:dyDescent="0.2">
      <c r="A28" s="4" t="s">
        <v>131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296</v>
      </c>
      <c r="D30" s="26" t="s">
        <v>297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132</v>
      </c>
    </row>
    <row r="38" spans="1:6" x14ac:dyDescent="0.2">
      <c r="B38" s="2" t="s">
        <v>298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304</v>
      </c>
      <c r="E39" s="1" t="s">
        <v>11</v>
      </c>
      <c r="F39" s="1" t="s">
        <v>305</v>
      </c>
    </row>
    <row r="40" spans="1:6" x14ac:dyDescent="0.2">
      <c r="B40" s="1">
        <v>1</v>
      </c>
      <c r="C40" s="1" t="s">
        <v>55</v>
      </c>
      <c r="D40" s="1" t="s">
        <v>300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55</v>
      </c>
      <c r="D41" s="1" t="s">
        <v>301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55</v>
      </c>
      <c r="D42" s="1" t="s">
        <v>302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55</v>
      </c>
      <c r="D43" s="1" t="s">
        <v>303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:C7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104</v>
      </c>
      <c r="C6" s="19" t="s">
        <v>1213</v>
      </c>
    </row>
    <row r="7" spans="1:6" x14ac:dyDescent="0.2">
      <c r="B7" s="4" t="s">
        <v>105</v>
      </c>
      <c r="C7" s="19" t="s">
        <v>1213</v>
      </c>
    </row>
    <row r="8" spans="1:6" x14ac:dyDescent="0.2">
      <c r="B8" s="4" t="s">
        <v>106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349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306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307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308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297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309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310</v>
      </c>
      <c r="E26" s="21">
        <v>4301.8100000000004</v>
      </c>
      <c r="F26" s="23" t="s">
        <v>21</v>
      </c>
    </row>
    <row r="28" spans="1:10" x14ac:dyDescent="0.2">
      <c r="A28" s="4" t="s">
        <v>131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306</v>
      </c>
      <c r="E30" s="29" t="s">
        <v>307</v>
      </c>
      <c r="F30" s="29" t="s">
        <v>308</v>
      </c>
      <c r="G30" s="29" t="s">
        <v>297</v>
      </c>
      <c r="H30" s="29" t="s">
        <v>25</v>
      </c>
      <c r="I30" s="29" t="s">
        <v>309</v>
      </c>
      <c r="J30" s="26" t="s">
        <v>310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132</v>
      </c>
    </row>
    <row r="35" spans="1:4" x14ac:dyDescent="0.2">
      <c r="B35" s="2" t="s">
        <v>298</v>
      </c>
      <c r="C35" s="2"/>
      <c r="D35" s="2"/>
    </row>
    <row r="36" spans="1:4" x14ac:dyDescent="0.2">
      <c r="B36" s="1" t="s">
        <v>348</v>
      </c>
      <c r="C36" s="1" t="s">
        <v>347</v>
      </c>
    </row>
    <row r="37" spans="1:4" x14ac:dyDescent="0.2">
      <c r="B37" s="1" t="s">
        <v>311</v>
      </c>
      <c r="C37" s="1">
        <v>0</v>
      </c>
    </row>
    <row r="38" spans="1:4" x14ac:dyDescent="0.2">
      <c r="B38" s="1" t="s">
        <v>312</v>
      </c>
      <c r="C38" s="1">
        <v>0</v>
      </c>
    </row>
    <row r="39" spans="1:4" x14ac:dyDescent="0.2">
      <c r="B39" s="1" t="s">
        <v>313</v>
      </c>
      <c r="C39" s="1">
        <v>0</v>
      </c>
    </row>
    <row r="40" spans="1:4" x14ac:dyDescent="0.2">
      <c r="B40" s="1" t="s">
        <v>314</v>
      </c>
      <c r="C40" s="1">
        <v>0.25</v>
      </c>
    </row>
    <row r="41" spans="1:4" x14ac:dyDescent="0.2">
      <c r="B41" s="1" t="s">
        <v>315</v>
      </c>
      <c r="C41" s="1">
        <v>0.25</v>
      </c>
    </row>
    <row r="42" spans="1:4" x14ac:dyDescent="0.2">
      <c r="B42" s="1" t="s">
        <v>316</v>
      </c>
      <c r="C42" s="1">
        <v>0.25</v>
      </c>
    </row>
    <row r="43" spans="1:4" x14ac:dyDescent="0.2">
      <c r="B43" s="1" t="s">
        <v>317</v>
      </c>
      <c r="C43" s="1">
        <v>0</v>
      </c>
    </row>
    <row r="44" spans="1:4" x14ac:dyDescent="0.2">
      <c r="B44" s="1" t="s">
        <v>318</v>
      </c>
      <c r="C44" s="1">
        <v>0</v>
      </c>
    </row>
    <row r="45" spans="1:4" x14ac:dyDescent="0.2">
      <c r="B45" s="1" t="s">
        <v>319</v>
      </c>
      <c r="C45" s="1">
        <v>0</v>
      </c>
    </row>
    <row r="46" spans="1:4" x14ac:dyDescent="0.2">
      <c r="B46" s="1" t="s">
        <v>320</v>
      </c>
      <c r="C46" s="1">
        <v>0.25</v>
      </c>
    </row>
    <row r="47" spans="1:4" x14ac:dyDescent="0.2">
      <c r="B47" s="1" t="s">
        <v>321</v>
      </c>
      <c r="C47" s="1">
        <v>0.25</v>
      </c>
    </row>
    <row r="48" spans="1:4" x14ac:dyDescent="0.2">
      <c r="B48" s="1" t="s">
        <v>322</v>
      </c>
      <c r="C48" s="1">
        <v>0</v>
      </c>
    </row>
    <row r="49" spans="2:3" x14ac:dyDescent="0.2">
      <c r="B49" s="1" t="s">
        <v>323</v>
      </c>
      <c r="C49" s="1">
        <v>0</v>
      </c>
    </row>
    <row r="50" spans="2:3" x14ac:dyDescent="0.2">
      <c r="B50" s="1" t="s">
        <v>324</v>
      </c>
      <c r="C50" s="1">
        <v>0</v>
      </c>
    </row>
    <row r="51" spans="2:3" x14ac:dyDescent="0.2">
      <c r="B51" s="1" t="s">
        <v>325</v>
      </c>
      <c r="C51" s="1">
        <v>0.25</v>
      </c>
    </row>
    <row r="52" spans="2:3" x14ac:dyDescent="0.2">
      <c r="B52" s="1" t="s">
        <v>326</v>
      </c>
      <c r="C52" s="1">
        <v>0.25</v>
      </c>
    </row>
    <row r="53" spans="2:3" x14ac:dyDescent="0.2">
      <c r="B53" s="1" t="s">
        <v>327</v>
      </c>
      <c r="C53" s="1">
        <v>0.25</v>
      </c>
    </row>
    <row r="54" spans="2:3" x14ac:dyDescent="0.2">
      <c r="B54" s="1" t="s">
        <v>328</v>
      </c>
      <c r="C54" s="1">
        <v>0</v>
      </c>
    </row>
    <row r="55" spans="2:3" x14ac:dyDescent="0.2">
      <c r="B55" s="1" t="s">
        <v>329</v>
      </c>
      <c r="C55" s="1">
        <v>0</v>
      </c>
    </row>
    <row r="56" spans="2:3" x14ac:dyDescent="0.2">
      <c r="B56" s="1" t="s">
        <v>330</v>
      </c>
      <c r="C56" s="1">
        <v>0</v>
      </c>
    </row>
    <row r="57" spans="2:3" x14ac:dyDescent="0.2">
      <c r="B57" s="1" t="s">
        <v>331</v>
      </c>
      <c r="C57" s="1">
        <v>0.25</v>
      </c>
    </row>
    <row r="58" spans="2:3" x14ac:dyDescent="0.2">
      <c r="B58" s="1" t="s">
        <v>332</v>
      </c>
      <c r="C58" s="1">
        <v>0</v>
      </c>
    </row>
    <row r="59" spans="2:3" x14ac:dyDescent="0.2">
      <c r="B59" s="1" t="s">
        <v>333</v>
      </c>
      <c r="C59" s="1">
        <v>0</v>
      </c>
    </row>
    <row r="60" spans="2:3" x14ac:dyDescent="0.2">
      <c r="B60" s="1" t="s">
        <v>334</v>
      </c>
      <c r="C60" s="1">
        <v>0</v>
      </c>
    </row>
    <row r="61" spans="2:3" x14ac:dyDescent="0.2">
      <c r="B61" s="1" t="s">
        <v>335</v>
      </c>
      <c r="C61" s="1">
        <v>0.25</v>
      </c>
    </row>
    <row r="62" spans="2:3" x14ac:dyDescent="0.2">
      <c r="B62" s="1" t="s">
        <v>336</v>
      </c>
      <c r="C62" s="1">
        <v>0.25</v>
      </c>
    </row>
    <row r="63" spans="2:3" x14ac:dyDescent="0.2">
      <c r="B63" s="1" t="s">
        <v>337</v>
      </c>
      <c r="C63" s="1">
        <v>0.25</v>
      </c>
    </row>
    <row r="64" spans="2:3" x14ac:dyDescent="0.2">
      <c r="B64" s="1" t="s">
        <v>338</v>
      </c>
      <c r="C64" s="1">
        <v>0</v>
      </c>
    </row>
    <row r="65" spans="2:3" x14ac:dyDescent="0.2">
      <c r="B65" s="1" t="s">
        <v>339</v>
      </c>
      <c r="C65" s="1">
        <v>0</v>
      </c>
    </row>
    <row r="66" spans="2:3" x14ac:dyDescent="0.2">
      <c r="B66" s="1" t="s">
        <v>340</v>
      </c>
      <c r="C66" s="1">
        <v>0</v>
      </c>
    </row>
    <row r="67" spans="2:3" x14ac:dyDescent="0.2">
      <c r="B67" s="1" t="s">
        <v>341</v>
      </c>
      <c r="C67" s="1">
        <v>0</v>
      </c>
    </row>
    <row r="68" spans="2:3" x14ac:dyDescent="0.2">
      <c r="B68" s="1" t="s">
        <v>342</v>
      </c>
      <c r="C68" s="1">
        <v>0</v>
      </c>
    </row>
    <row r="69" spans="2:3" x14ac:dyDescent="0.2">
      <c r="B69" s="1" t="s">
        <v>343</v>
      </c>
      <c r="C69" s="1">
        <v>0</v>
      </c>
    </row>
    <row r="70" spans="2:3" x14ac:dyDescent="0.2">
      <c r="B70" s="1" t="s">
        <v>344</v>
      </c>
      <c r="C70" s="1">
        <v>0.25</v>
      </c>
    </row>
    <row r="71" spans="2:3" x14ac:dyDescent="0.2">
      <c r="B71" s="1" t="s">
        <v>345</v>
      </c>
      <c r="C71" s="1">
        <v>0.25</v>
      </c>
    </row>
    <row r="72" spans="2:3" x14ac:dyDescent="0.2">
      <c r="B72" s="1" t="s">
        <v>346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03ABB-B297-4CE3-8AF7-044F8DE3857B}">
  <sheetPr codeName="ShtBitvavo"/>
  <dimension ref="A2:H39"/>
  <sheetViews>
    <sheetView tabSelected="1" workbookViewId="0">
      <selection activeCell="C12" sqref="C12"/>
    </sheetView>
  </sheetViews>
  <sheetFormatPr defaultColWidth="8.88671875"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3320312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1263</v>
      </c>
    </row>
    <row r="3" spans="1:6" x14ac:dyDescent="0.2">
      <c r="B3" s="16" t="s">
        <v>413</v>
      </c>
    </row>
    <row r="4" spans="1:6" x14ac:dyDescent="0.2">
      <c r="B4" s="1" t="s">
        <v>129</v>
      </c>
    </row>
    <row r="6" spans="1:6" x14ac:dyDescent="0.2">
      <c r="B6" s="4" t="s">
        <v>1264</v>
      </c>
      <c r="C6" s="19" t="s">
        <v>1213</v>
      </c>
    </row>
    <row r="7" spans="1:6" x14ac:dyDescent="0.2">
      <c r="B7" s="4" t="s">
        <v>1265</v>
      </c>
      <c r="C7" s="19" t="s">
        <v>1213</v>
      </c>
    </row>
    <row r="10" spans="1:6" x14ac:dyDescent="0.2">
      <c r="A10" s="4" t="s">
        <v>128</v>
      </c>
    </row>
    <row r="11" spans="1:6" x14ac:dyDescent="0.2">
      <c r="A11" s="4"/>
    </row>
    <row r="12" spans="1:6" x14ac:dyDescent="0.2">
      <c r="B12" s="1" t="s">
        <v>1266</v>
      </c>
    </row>
    <row r="14" spans="1:6" x14ac:dyDescent="0.2">
      <c r="A14" s="4" t="s">
        <v>130</v>
      </c>
    </row>
    <row r="15" spans="1:6" ht="12" thickBot="1" x14ac:dyDescent="0.25">
      <c r="B15" s="2" t="s">
        <v>22</v>
      </c>
      <c r="C15" s="3"/>
      <c r="D15" s="3"/>
      <c r="E15" s="3"/>
      <c r="F15" s="3"/>
    </row>
    <row r="16" spans="1:6" x14ac:dyDescent="0.2">
      <c r="B16" s="25" t="s">
        <v>13</v>
      </c>
      <c r="C16" s="29" t="s">
        <v>14</v>
      </c>
      <c r="D16" s="29" t="s">
        <v>15</v>
      </c>
      <c r="E16" s="29" t="s">
        <v>16</v>
      </c>
      <c r="F16" s="26" t="s">
        <v>17</v>
      </c>
    </row>
    <row r="17" spans="1:7" x14ac:dyDescent="0.2">
      <c r="B17" s="31">
        <v>1</v>
      </c>
      <c r="C17" s="1" t="s">
        <v>18</v>
      </c>
      <c r="D17" s="1" t="s">
        <v>83</v>
      </c>
      <c r="E17" s="1" t="s">
        <v>47</v>
      </c>
      <c r="F17" s="32" t="s">
        <v>21</v>
      </c>
    </row>
    <row r="18" spans="1:7" x14ac:dyDescent="0.2">
      <c r="B18" s="31">
        <v>1</v>
      </c>
      <c r="C18" s="1" t="s">
        <v>18</v>
      </c>
      <c r="D18" s="1" t="s">
        <v>404</v>
      </c>
      <c r="E18" s="1" t="s">
        <v>365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1267</v>
      </c>
      <c r="E19" s="1">
        <v>8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1268</v>
      </c>
      <c r="E20" s="1">
        <v>0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1269</v>
      </c>
      <c r="E21" s="1">
        <v>30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1270</v>
      </c>
      <c r="E22" s="1" t="s">
        <v>1271</v>
      </c>
      <c r="F22" s="32" t="s">
        <v>21</v>
      </c>
    </row>
    <row r="23" spans="1:7" x14ac:dyDescent="0.2">
      <c r="B23" s="31">
        <v>1</v>
      </c>
      <c r="C23" s="1" t="s">
        <v>18</v>
      </c>
      <c r="D23" s="1" t="s">
        <v>1272</v>
      </c>
      <c r="E23" s="1">
        <v>8.0000000000000002E-3</v>
      </c>
      <c r="F23" s="32" t="s">
        <v>21</v>
      </c>
    </row>
    <row r="24" spans="1:7" x14ac:dyDescent="0.2">
      <c r="B24" s="31">
        <v>1</v>
      </c>
      <c r="C24" s="1" t="s">
        <v>18</v>
      </c>
      <c r="D24" s="1" t="s">
        <v>1273</v>
      </c>
      <c r="E24" s="1">
        <v>8.0000000000000002E-3</v>
      </c>
      <c r="F24" s="32" t="s">
        <v>21</v>
      </c>
    </row>
    <row r="25" spans="1:7" x14ac:dyDescent="0.2">
      <c r="B25" s="31">
        <v>1</v>
      </c>
      <c r="C25" s="1" t="s">
        <v>18</v>
      </c>
      <c r="D25" s="1" t="s">
        <v>1274</v>
      </c>
      <c r="E25" s="1" t="s">
        <v>1271</v>
      </c>
      <c r="F25" s="32" t="s">
        <v>21</v>
      </c>
    </row>
    <row r="26" spans="1:7" x14ac:dyDescent="0.2">
      <c r="B26" s="31">
        <v>1</v>
      </c>
      <c r="C26" s="1" t="s">
        <v>18</v>
      </c>
      <c r="D26" s="1" t="s">
        <v>1275</v>
      </c>
      <c r="E26" s="1">
        <v>1</v>
      </c>
      <c r="F26" s="32" t="s">
        <v>20</v>
      </c>
    </row>
    <row r="27" spans="1:7" x14ac:dyDescent="0.2">
      <c r="B27" s="31">
        <v>2</v>
      </c>
      <c r="C27" s="1" t="s">
        <v>1275</v>
      </c>
      <c r="D27" s="1">
        <v>1</v>
      </c>
      <c r="E27" s="1" t="s">
        <v>1276</v>
      </c>
      <c r="F27" s="32" t="s">
        <v>21</v>
      </c>
    </row>
    <row r="28" spans="1:7" ht="12" thickBot="1" x14ac:dyDescent="0.25">
      <c r="B28" s="20">
        <v>1</v>
      </c>
      <c r="C28" s="21" t="s">
        <v>18</v>
      </c>
      <c r="D28" s="21" t="s">
        <v>1277</v>
      </c>
      <c r="E28" s="21"/>
      <c r="F28" s="23" t="s">
        <v>21</v>
      </c>
    </row>
    <row r="30" spans="1:7" x14ac:dyDescent="0.2">
      <c r="A30" s="4" t="s">
        <v>1278</v>
      </c>
    </row>
    <row r="31" spans="1:7" ht="12" thickBot="1" x14ac:dyDescent="0.25">
      <c r="B31" s="2" t="s">
        <v>23</v>
      </c>
      <c r="C31" s="3"/>
      <c r="D31" s="3"/>
    </row>
    <row r="32" spans="1:7" x14ac:dyDescent="0.2">
      <c r="B32" s="25" t="s">
        <v>1279</v>
      </c>
      <c r="C32" s="29" t="s">
        <v>307</v>
      </c>
      <c r="D32" s="29" t="s">
        <v>309</v>
      </c>
      <c r="E32" s="29" t="s">
        <v>1280</v>
      </c>
      <c r="F32" s="29" t="s">
        <v>1281</v>
      </c>
      <c r="G32" s="26" t="s">
        <v>415</v>
      </c>
    </row>
    <row r="33" spans="1:8" ht="12" thickBot="1" x14ac:dyDescent="0.25">
      <c r="B33" s="20" t="s">
        <v>1282</v>
      </c>
      <c r="C33" s="21">
        <v>2014.1</v>
      </c>
      <c r="D33" s="21">
        <v>2014.7</v>
      </c>
      <c r="E33" s="21">
        <v>2.1269975300000001</v>
      </c>
      <c r="F33" s="21">
        <v>1.1600152100000001</v>
      </c>
      <c r="G33" s="23">
        <v>458830.45809412998</v>
      </c>
    </row>
    <row r="35" spans="1:8" x14ac:dyDescent="0.2">
      <c r="A35" s="4" t="s">
        <v>132</v>
      </c>
    </row>
    <row r="37" spans="1:8" x14ac:dyDescent="0.2">
      <c r="B37" s="2" t="s">
        <v>298</v>
      </c>
      <c r="C37" s="2"/>
      <c r="D37" s="2"/>
    </row>
    <row r="38" spans="1:8" x14ac:dyDescent="0.2">
      <c r="B38" s="1" t="s">
        <v>1283</v>
      </c>
      <c r="C38" s="1" t="s">
        <v>1284</v>
      </c>
      <c r="D38" s="1" t="s">
        <v>1285</v>
      </c>
      <c r="E38" s="1" t="s">
        <v>1286</v>
      </c>
      <c r="F38" s="1" t="s">
        <v>1287</v>
      </c>
      <c r="G38" s="1" t="s">
        <v>1288</v>
      </c>
      <c r="H38" s="1" t="s">
        <v>1289</v>
      </c>
    </row>
    <row r="39" spans="1:8" x14ac:dyDescent="0.2">
      <c r="B39" s="1" t="s">
        <v>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H39"/>
  <sheetViews>
    <sheetView zoomScaleNormal="100" workbookViewId="0">
      <selection activeCell="B32" sqref="B32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350</v>
      </c>
    </row>
    <row r="3" spans="1:6" x14ac:dyDescent="0.2">
      <c r="B3" s="16" t="s">
        <v>351</v>
      </c>
    </row>
    <row r="4" spans="1:6" x14ac:dyDescent="0.2">
      <c r="B4" s="1" t="s">
        <v>129</v>
      </c>
    </row>
    <row r="6" spans="1:6" x14ac:dyDescent="0.2">
      <c r="B6" s="4" t="s">
        <v>30</v>
      </c>
      <c r="C6" s="19" t="s">
        <v>1213</v>
      </c>
    </row>
    <row r="7" spans="1:6" x14ac:dyDescent="0.2">
      <c r="B7" s="4" t="s">
        <v>31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1258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8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8" x14ac:dyDescent="0.2">
      <c r="B18" s="31">
        <v>1</v>
      </c>
      <c r="C18" s="60" t="s">
        <v>18</v>
      </c>
      <c r="D18" s="60" t="s">
        <v>83</v>
      </c>
      <c r="E18" s="60" t="s">
        <v>1251</v>
      </c>
      <c r="F18" s="32" t="s">
        <v>21</v>
      </c>
    </row>
    <row r="19" spans="1:8" x14ac:dyDescent="0.2">
      <c r="B19" s="31">
        <v>1</v>
      </c>
      <c r="C19" s="60" t="s">
        <v>18</v>
      </c>
      <c r="D19" s="60" t="s">
        <v>24</v>
      </c>
      <c r="E19" s="60">
        <v>2.7000000000000001E-7</v>
      </c>
      <c r="F19" s="32" t="s">
        <v>21</v>
      </c>
    </row>
    <row r="20" spans="1:8" x14ac:dyDescent="0.2">
      <c r="B20" s="31">
        <v>1</v>
      </c>
      <c r="C20" s="60" t="s">
        <v>18</v>
      </c>
      <c r="D20" s="60" t="s">
        <v>25</v>
      </c>
      <c r="E20" s="60">
        <v>2.6E-7</v>
      </c>
      <c r="F20" s="32" t="s">
        <v>21</v>
      </c>
    </row>
    <row r="21" spans="1:8" x14ac:dyDescent="0.2">
      <c r="B21" s="31">
        <v>1</v>
      </c>
      <c r="C21" s="60" t="s">
        <v>18</v>
      </c>
      <c r="D21" s="60" t="s">
        <v>297</v>
      </c>
      <c r="E21" s="60">
        <v>8810346.8483358491</v>
      </c>
      <c r="F21" s="32" t="s">
        <v>21</v>
      </c>
    </row>
    <row r="22" spans="1:8" x14ac:dyDescent="0.2">
      <c r="B22" s="31">
        <v>1</v>
      </c>
      <c r="C22" s="60" t="s">
        <v>18</v>
      </c>
      <c r="D22" s="60" t="s">
        <v>1252</v>
      </c>
      <c r="E22" s="60">
        <v>2.3141011300000001</v>
      </c>
      <c r="F22" s="32" t="s">
        <v>21</v>
      </c>
    </row>
    <row r="23" spans="1:8" x14ac:dyDescent="0.2">
      <c r="B23" s="31">
        <v>1</v>
      </c>
      <c r="C23" s="60" t="s">
        <v>18</v>
      </c>
      <c r="D23" s="60" t="s">
        <v>1253</v>
      </c>
      <c r="E23" s="60">
        <v>0</v>
      </c>
      <c r="F23" s="32" t="s">
        <v>21</v>
      </c>
    </row>
    <row r="24" spans="1:8" ht="12" thickBot="1" x14ac:dyDescent="0.25">
      <c r="B24" s="20">
        <v>1</v>
      </c>
      <c r="C24" s="21" t="s">
        <v>18</v>
      </c>
      <c r="D24" s="21" t="s">
        <v>1254</v>
      </c>
      <c r="E24" s="21" t="s">
        <v>1259</v>
      </c>
      <c r="F24" s="23" t="s">
        <v>21</v>
      </c>
    </row>
    <row r="26" spans="1:8" x14ac:dyDescent="0.2">
      <c r="A26" s="4" t="s">
        <v>131</v>
      </c>
    </row>
    <row r="27" spans="1:8" ht="12" thickBot="1" x14ac:dyDescent="0.25">
      <c r="B27" s="2" t="s">
        <v>23</v>
      </c>
      <c r="C27" s="3"/>
      <c r="D27" s="3"/>
    </row>
    <row r="28" spans="1:8" x14ac:dyDescent="0.2">
      <c r="B28" s="25" t="s">
        <v>83</v>
      </c>
      <c r="C28" s="29" t="s">
        <v>24</v>
      </c>
      <c r="D28" s="29" t="s">
        <v>25</v>
      </c>
      <c r="E28" s="29" t="s">
        <v>297</v>
      </c>
      <c r="F28" s="29" t="s">
        <v>1252</v>
      </c>
      <c r="G28" s="29" t="s">
        <v>1253</v>
      </c>
      <c r="H28" s="26" t="s">
        <v>1254</v>
      </c>
    </row>
    <row r="29" spans="1:8" ht="12" thickBot="1" x14ac:dyDescent="0.25">
      <c r="B29" s="20" t="s">
        <v>1251</v>
      </c>
      <c r="C29" s="21">
        <v>2.7000000000000001E-7</v>
      </c>
      <c r="D29" s="21">
        <v>2.6E-7</v>
      </c>
      <c r="E29" s="21">
        <v>8810346.8483358491</v>
      </c>
      <c r="F29" s="21">
        <v>2.3141011300000001</v>
      </c>
      <c r="G29" s="21">
        <v>0</v>
      </c>
      <c r="H29" s="23" t="s">
        <v>1259</v>
      </c>
    </row>
    <row r="32" spans="1:8" x14ac:dyDescent="0.2">
      <c r="A32" s="4" t="s">
        <v>132</v>
      </c>
    </row>
    <row r="34" spans="2:6" x14ac:dyDescent="0.2">
      <c r="B34" s="2" t="s">
        <v>298</v>
      </c>
      <c r="C34" s="2"/>
      <c r="D34" s="2"/>
    </row>
    <row r="35" spans="2:6" x14ac:dyDescent="0.2">
      <c r="B35" s="1" t="s">
        <v>1</v>
      </c>
      <c r="C35" s="1" t="s">
        <v>1261</v>
      </c>
      <c r="D35" s="1" t="s">
        <v>1262</v>
      </c>
      <c r="E35" s="1" t="s">
        <v>305</v>
      </c>
      <c r="F35" s="1" t="s">
        <v>1254</v>
      </c>
    </row>
    <row r="36" spans="2:6" x14ac:dyDescent="0.2">
      <c r="B36" s="1">
        <v>1</v>
      </c>
      <c r="C36" s="1" t="s">
        <v>352</v>
      </c>
      <c r="D36" s="1">
        <v>1.7329999999999998E-5</v>
      </c>
      <c r="E36" s="1">
        <v>1.7329999999999998E-5</v>
      </c>
      <c r="F36" s="1" t="s">
        <v>1255</v>
      </c>
    </row>
    <row r="37" spans="2:6" x14ac:dyDescent="0.2">
      <c r="B37" s="1">
        <v>2</v>
      </c>
      <c r="C37" s="1" t="s">
        <v>33</v>
      </c>
      <c r="D37" s="1">
        <v>1.230039E-2</v>
      </c>
      <c r="E37" s="1">
        <v>1.230039E-2</v>
      </c>
      <c r="F37" s="1" t="s">
        <v>1255</v>
      </c>
    </row>
    <row r="38" spans="2:6" x14ac:dyDescent="0.2">
      <c r="B38" s="1">
        <v>3</v>
      </c>
      <c r="C38" s="1" t="s">
        <v>1256</v>
      </c>
      <c r="D38" s="1">
        <v>0</v>
      </c>
      <c r="E38" s="1">
        <v>0</v>
      </c>
      <c r="F38" s="1" t="s">
        <v>1257</v>
      </c>
    </row>
    <row r="39" spans="2:6" x14ac:dyDescent="0.2">
      <c r="B39" s="1">
        <v>4</v>
      </c>
      <c r="C39" s="1" t="s">
        <v>217</v>
      </c>
      <c r="D39" s="1">
        <v>0</v>
      </c>
      <c r="E39" s="1">
        <v>0</v>
      </c>
      <c r="F39" s="1" t="s">
        <v>1260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workbookViewId="0">
      <selection sqref="A1:XFD15"/>
    </sheetView>
  </sheetViews>
  <sheetFormatPr defaultRowHeight="14.4" x14ac:dyDescent="0.3"/>
  <cols>
    <col min="1" max="1" width="3.6640625" customWidth="1"/>
    <col min="2" max="2" width="23.109375" customWidth="1"/>
  </cols>
  <sheetData>
    <row r="1" spans="1:3" s="1" customFormat="1" ht="11.4" x14ac:dyDescent="0.2"/>
    <row r="2" spans="1:3" s="1" customFormat="1" ht="17.399999999999999" x14ac:dyDescent="0.3">
      <c r="B2" s="18" t="s">
        <v>1236</v>
      </c>
    </row>
    <row r="3" spans="1:3" s="1" customFormat="1" ht="11.4" x14ac:dyDescent="0.2">
      <c r="B3" s="16" t="s">
        <v>1241</v>
      </c>
    </row>
    <row r="4" spans="1:3" s="1" customFormat="1" ht="11.4" x14ac:dyDescent="0.2">
      <c r="B4" s="1" t="s">
        <v>129</v>
      </c>
    </row>
    <row r="5" spans="1:3" s="1" customFormat="1" ht="11.4" x14ac:dyDescent="0.2"/>
    <row r="6" spans="1:3" s="1" customFormat="1" ht="11.4" x14ac:dyDescent="0.2">
      <c r="B6" s="4" t="s">
        <v>1237</v>
      </c>
      <c r="C6" s="19" t="s">
        <v>1238</v>
      </c>
    </row>
    <row r="7" spans="1:3" s="1" customFormat="1" ht="11.4" x14ac:dyDescent="0.2">
      <c r="B7" s="4" t="s">
        <v>1239</v>
      </c>
      <c r="C7" s="19" t="s">
        <v>1238</v>
      </c>
    </row>
    <row r="8" spans="1:3" s="1" customFormat="1" ht="11.4" x14ac:dyDescent="0.2"/>
    <row r="9" spans="1:3" s="1" customFormat="1" ht="11.4" x14ac:dyDescent="0.2"/>
    <row r="10" spans="1:3" s="1" customFormat="1" ht="11.4" x14ac:dyDescent="0.2"/>
    <row r="11" spans="1:3" s="1" customFormat="1" ht="11.4" x14ac:dyDescent="0.2">
      <c r="A11" s="4" t="s">
        <v>128</v>
      </c>
    </row>
    <row r="12" spans="1:3" s="1" customFormat="1" ht="11.4" x14ac:dyDescent="0.2">
      <c r="A12" s="4"/>
    </row>
    <row r="13" spans="1:3" s="1" customFormat="1" ht="11.4" x14ac:dyDescent="0.2">
      <c r="B13" s="1" t="s">
        <v>1240</v>
      </c>
    </row>
    <row r="14" spans="1:3" s="1" customFormat="1" ht="11.4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ColWidth="8.88671875" defaultRowHeight="11.4" x14ac:dyDescent="0.2"/>
  <cols>
    <col min="1" max="1" width="5.6640625" style="1" customWidth="1"/>
    <col min="2" max="2" width="22.88671875" style="1" customWidth="1"/>
    <col min="3" max="3" width="33.6640625" style="1" bestFit="1" customWidth="1"/>
    <col min="4" max="4" width="11.3320312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3320312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353</v>
      </c>
    </row>
    <row r="3" spans="1:6" x14ac:dyDescent="0.2">
      <c r="B3" s="16" t="s">
        <v>354</v>
      </c>
    </row>
    <row r="4" spans="1:6" x14ac:dyDescent="0.2">
      <c r="B4" s="1" t="s">
        <v>129</v>
      </c>
    </row>
    <row r="6" spans="1:6" x14ac:dyDescent="0.2">
      <c r="B6" s="4" t="s">
        <v>107</v>
      </c>
      <c r="C6" s="19" t="s">
        <v>1213</v>
      </c>
    </row>
    <row r="7" spans="1:6" x14ac:dyDescent="0.2">
      <c r="B7" s="4" t="s">
        <v>108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81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81</v>
      </c>
      <c r="D19" s="1" t="s">
        <v>356</v>
      </c>
      <c r="E19" s="1" t="s">
        <v>33</v>
      </c>
      <c r="F19" s="32" t="s">
        <v>21</v>
      </c>
    </row>
    <row r="20" spans="1:16" x14ac:dyDescent="0.2">
      <c r="B20" s="31">
        <v>2</v>
      </c>
      <c r="C20" s="1" t="s">
        <v>81</v>
      </c>
      <c r="D20" s="1" t="s">
        <v>304</v>
      </c>
      <c r="E20" s="1" t="s">
        <v>355</v>
      </c>
      <c r="F20" s="32" t="s">
        <v>21</v>
      </c>
    </row>
    <row r="21" spans="1:16" ht="12" thickBot="1" x14ac:dyDescent="0.25">
      <c r="B21" s="20">
        <v>2</v>
      </c>
      <c r="C21" s="21" t="s">
        <v>81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131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356</v>
      </c>
      <c r="D25" s="29" t="s">
        <v>304</v>
      </c>
      <c r="E25" s="26" t="s">
        <v>11</v>
      </c>
    </row>
    <row r="26" spans="1:16" ht="12" thickBot="1" x14ac:dyDescent="0.25">
      <c r="B26" s="20" t="s">
        <v>81</v>
      </c>
      <c r="C26" s="21" t="s">
        <v>33</v>
      </c>
      <c r="D26" s="21" t="s">
        <v>355</v>
      </c>
      <c r="E26" s="23">
        <v>4375.1957926949999</v>
      </c>
    </row>
    <row r="29" spans="1:16" x14ac:dyDescent="0.2">
      <c r="A29" s="4" t="s">
        <v>132</v>
      </c>
    </row>
    <row r="31" spans="1:16" x14ac:dyDescent="0.2">
      <c r="B31" s="2" t="s">
        <v>298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80</v>
      </c>
      <c r="F32" s="1" t="s">
        <v>404</v>
      </c>
      <c r="G32" s="1" t="s">
        <v>405</v>
      </c>
      <c r="H32" s="1" t="s">
        <v>406</v>
      </c>
      <c r="I32" s="1" t="s">
        <v>407</v>
      </c>
      <c r="J32" s="1" t="s">
        <v>9</v>
      </c>
      <c r="K32" s="1" t="s">
        <v>11</v>
      </c>
      <c r="L32" s="1" t="s">
        <v>304</v>
      </c>
      <c r="M32" s="1" t="s">
        <v>408</v>
      </c>
      <c r="N32" s="1" t="s">
        <v>409</v>
      </c>
      <c r="O32" s="1" t="s">
        <v>410</v>
      </c>
      <c r="P32" s="1" t="s">
        <v>411</v>
      </c>
    </row>
    <row r="33" spans="2:14" x14ac:dyDescent="0.2">
      <c r="B33" s="1" t="s">
        <v>81</v>
      </c>
      <c r="C33" s="1">
        <v>1</v>
      </c>
      <c r="D33" s="1" t="s">
        <v>304</v>
      </c>
      <c r="E33" s="1" t="s">
        <v>355</v>
      </c>
      <c r="F33" s="1" t="s">
        <v>357</v>
      </c>
      <c r="G33" s="1" t="s">
        <v>358</v>
      </c>
      <c r="H33" s="1">
        <v>0</v>
      </c>
      <c r="I33" s="1">
        <v>2</v>
      </c>
      <c r="J33" s="1" t="s">
        <v>359</v>
      </c>
    </row>
    <row r="34" spans="2:14" x14ac:dyDescent="0.2">
      <c r="B34" s="1" t="s">
        <v>81</v>
      </c>
      <c r="C34" s="1">
        <v>1</v>
      </c>
      <c r="D34" s="1" t="s">
        <v>12</v>
      </c>
      <c r="E34" s="1" t="s">
        <v>355</v>
      </c>
      <c r="K34" s="1">
        <v>0</v>
      </c>
      <c r="L34" s="1" t="s">
        <v>355</v>
      </c>
    </row>
    <row r="35" spans="2:14" x14ac:dyDescent="0.2">
      <c r="B35" s="1" t="s">
        <v>81</v>
      </c>
      <c r="C35" s="1">
        <v>2</v>
      </c>
      <c r="D35" s="1" t="s">
        <v>304</v>
      </c>
      <c r="E35" s="1" t="s">
        <v>46</v>
      </c>
      <c r="F35" s="1" t="s">
        <v>360</v>
      </c>
      <c r="G35" s="1" t="s">
        <v>361</v>
      </c>
      <c r="H35" s="1">
        <v>104</v>
      </c>
      <c r="I35" s="1">
        <v>8</v>
      </c>
      <c r="J35" s="1" t="s">
        <v>362</v>
      </c>
      <c r="M35" s="1" t="s">
        <v>363</v>
      </c>
      <c r="N35" s="1" t="s">
        <v>364</v>
      </c>
    </row>
    <row r="36" spans="2:14" x14ac:dyDescent="0.2">
      <c r="B36" s="1" t="s">
        <v>81</v>
      </c>
      <c r="C36" s="1">
        <v>2</v>
      </c>
      <c r="D36" s="1" t="s">
        <v>12</v>
      </c>
      <c r="E36" s="1" t="s">
        <v>46</v>
      </c>
      <c r="K36" s="1">
        <v>0</v>
      </c>
      <c r="L36" s="1" t="s">
        <v>46</v>
      </c>
    </row>
    <row r="37" spans="2:14" x14ac:dyDescent="0.2">
      <c r="B37" s="1" t="s">
        <v>81</v>
      </c>
      <c r="C37" s="1">
        <v>3</v>
      </c>
      <c r="D37" s="1" t="s">
        <v>304</v>
      </c>
      <c r="E37" s="1" t="s">
        <v>47</v>
      </c>
      <c r="F37" s="1" t="s">
        <v>365</v>
      </c>
      <c r="G37" s="1" t="s">
        <v>366</v>
      </c>
      <c r="H37" s="1">
        <v>102</v>
      </c>
      <c r="I37" s="1">
        <v>8</v>
      </c>
      <c r="J37" s="1" t="s">
        <v>362</v>
      </c>
      <c r="M37" s="1" t="s">
        <v>367</v>
      </c>
      <c r="N37" s="1" t="s">
        <v>368</v>
      </c>
    </row>
    <row r="38" spans="2:14" x14ac:dyDescent="0.2">
      <c r="B38" s="1" t="s">
        <v>81</v>
      </c>
      <c r="C38" s="1">
        <v>3</v>
      </c>
      <c r="D38" s="1" t="s">
        <v>12</v>
      </c>
      <c r="E38" s="1" t="s">
        <v>47</v>
      </c>
      <c r="K38" s="1">
        <v>0</v>
      </c>
      <c r="L38" s="1" t="s">
        <v>47</v>
      </c>
    </row>
    <row r="39" spans="2:14" x14ac:dyDescent="0.2">
      <c r="B39" s="1" t="s">
        <v>81</v>
      </c>
      <c r="C39" s="1">
        <v>4</v>
      </c>
      <c r="D39" s="1" t="s">
        <v>304</v>
      </c>
      <c r="E39" s="1" t="s">
        <v>352</v>
      </c>
      <c r="F39" s="1" t="s">
        <v>369</v>
      </c>
      <c r="G39" s="1" t="s">
        <v>370</v>
      </c>
      <c r="H39" s="1">
        <v>101</v>
      </c>
      <c r="I39" s="1">
        <v>8</v>
      </c>
      <c r="J39" s="1" t="s">
        <v>362</v>
      </c>
      <c r="M39" s="1" t="s">
        <v>371</v>
      </c>
      <c r="N39" s="1" t="s">
        <v>372</v>
      </c>
    </row>
    <row r="40" spans="2:14" x14ac:dyDescent="0.2">
      <c r="B40" s="1" t="s">
        <v>81</v>
      </c>
      <c r="C40" s="1">
        <v>4</v>
      </c>
      <c r="D40" s="1" t="s">
        <v>12</v>
      </c>
      <c r="E40" s="1" t="s">
        <v>352</v>
      </c>
      <c r="K40" s="1">
        <v>0</v>
      </c>
      <c r="L40" s="1" t="s">
        <v>352</v>
      </c>
    </row>
    <row r="41" spans="2:14" x14ac:dyDescent="0.2">
      <c r="B41" s="1" t="s">
        <v>81</v>
      </c>
      <c r="C41" s="1">
        <v>5</v>
      </c>
      <c r="D41" s="1" t="s">
        <v>304</v>
      </c>
      <c r="E41" s="1" t="s">
        <v>33</v>
      </c>
      <c r="F41" s="1" t="s">
        <v>373</v>
      </c>
      <c r="G41" s="1" t="s">
        <v>374</v>
      </c>
      <c r="H41" s="1">
        <v>100</v>
      </c>
      <c r="I41" s="1">
        <v>8</v>
      </c>
      <c r="J41" s="1" t="s">
        <v>362</v>
      </c>
      <c r="M41" s="1" t="s">
        <v>375</v>
      </c>
      <c r="N41" s="1" t="s">
        <v>376</v>
      </c>
    </row>
    <row r="42" spans="2:14" x14ac:dyDescent="0.2">
      <c r="B42" s="1" t="s">
        <v>81</v>
      </c>
      <c r="C42" s="1">
        <v>5</v>
      </c>
      <c r="D42" s="1" t="s">
        <v>12</v>
      </c>
      <c r="E42" s="1" t="s">
        <v>33</v>
      </c>
      <c r="K42" s="1">
        <v>0</v>
      </c>
      <c r="L42" s="1" t="s">
        <v>33</v>
      </c>
    </row>
    <row r="43" spans="2:14" x14ac:dyDescent="0.2">
      <c r="B43" s="1" t="s">
        <v>81</v>
      </c>
      <c r="C43" s="1">
        <v>6</v>
      </c>
      <c r="D43" s="1" t="s">
        <v>304</v>
      </c>
      <c r="E43" s="1" t="s">
        <v>173</v>
      </c>
      <c r="F43" s="1" t="s">
        <v>377</v>
      </c>
      <c r="G43" s="1" t="s">
        <v>378</v>
      </c>
      <c r="H43" s="1">
        <v>103</v>
      </c>
      <c r="I43" s="1">
        <v>8</v>
      </c>
      <c r="J43" s="1" t="s">
        <v>362</v>
      </c>
      <c r="M43" s="1" t="s">
        <v>367</v>
      </c>
      <c r="N43" s="1" t="s">
        <v>379</v>
      </c>
    </row>
    <row r="44" spans="2:14" x14ac:dyDescent="0.2">
      <c r="B44" s="1" t="s">
        <v>81</v>
      </c>
      <c r="C44" s="1">
        <v>6</v>
      </c>
      <c r="D44" s="1" t="s">
        <v>12</v>
      </c>
      <c r="E44" s="1" t="s">
        <v>173</v>
      </c>
      <c r="K44" s="1">
        <v>0</v>
      </c>
      <c r="L44" s="1" t="s">
        <v>173</v>
      </c>
    </row>
    <row r="45" spans="2:14" x14ac:dyDescent="0.2">
      <c r="B45" s="1" t="s">
        <v>81</v>
      </c>
      <c r="C45" s="1">
        <v>7</v>
      </c>
      <c r="D45" s="1" t="s">
        <v>304</v>
      </c>
      <c r="E45" s="1" t="s">
        <v>147</v>
      </c>
      <c r="F45" s="1" t="s">
        <v>380</v>
      </c>
      <c r="G45" s="1" t="s">
        <v>381</v>
      </c>
      <c r="H45" s="1">
        <v>105</v>
      </c>
      <c r="I45" s="1">
        <v>8</v>
      </c>
      <c r="J45" s="1" t="s">
        <v>362</v>
      </c>
      <c r="M45" s="1" t="s">
        <v>367</v>
      </c>
      <c r="N45" s="1" t="s">
        <v>382</v>
      </c>
    </row>
    <row r="46" spans="2:14" x14ac:dyDescent="0.2">
      <c r="B46" s="1" t="s">
        <v>81</v>
      </c>
      <c r="C46" s="1">
        <v>7</v>
      </c>
      <c r="D46" s="1" t="s">
        <v>12</v>
      </c>
      <c r="E46" s="1" t="s">
        <v>147</v>
      </c>
      <c r="K46" s="1">
        <v>0</v>
      </c>
      <c r="L46" s="1" t="s">
        <v>147</v>
      </c>
    </row>
    <row r="47" spans="2:14" x14ac:dyDescent="0.2">
      <c r="B47" s="1" t="s">
        <v>81</v>
      </c>
      <c r="C47" s="1">
        <v>8</v>
      </c>
      <c r="D47" s="1" t="s">
        <v>304</v>
      </c>
      <c r="E47" s="1" t="s">
        <v>179</v>
      </c>
      <c r="F47" s="1" t="s">
        <v>383</v>
      </c>
      <c r="G47" s="1" t="s">
        <v>384</v>
      </c>
      <c r="H47" s="1">
        <v>106</v>
      </c>
      <c r="I47" s="1">
        <v>8</v>
      </c>
      <c r="J47" s="1" t="s">
        <v>362</v>
      </c>
      <c r="M47" s="1" t="s">
        <v>367</v>
      </c>
      <c r="N47" s="1" t="s">
        <v>385</v>
      </c>
    </row>
    <row r="48" spans="2:14" x14ac:dyDescent="0.2">
      <c r="B48" s="1" t="s">
        <v>81</v>
      </c>
      <c r="C48" s="1">
        <v>8</v>
      </c>
      <c r="D48" s="1" t="s">
        <v>12</v>
      </c>
      <c r="E48" s="1" t="s">
        <v>179</v>
      </c>
      <c r="K48" s="1">
        <v>0</v>
      </c>
      <c r="L48" s="1" t="s">
        <v>179</v>
      </c>
    </row>
    <row r="49" spans="2:16" x14ac:dyDescent="0.2">
      <c r="B49" s="1" t="s">
        <v>81</v>
      </c>
      <c r="C49" s="1">
        <v>9</v>
      </c>
      <c r="D49" s="1" t="s">
        <v>304</v>
      </c>
      <c r="E49" s="1" t="s">
        <v>284</v>
      </c>
      <c r="F49" s="1" t="s">
        <v>386</v>
      </c>
      <c r="G49" s="1" t="s">
        <v>387</v>
      </c>
      <c r="H49" s="1">
        <v>107</v>
      </c>
      <c r="I49" s="1">
        <v>6</v>
      </c>
      <c r="J49" s="1" t="s">
        <v>362</v>
      </c>
      <c r="M49" s="1" t="s">
        <v>367</v>
      </c>
      <c r="N49" s="1" t="s">
        <v>388</v>
      </c>
    </row>
    <row r="50" spans="2:16" x14ac:dyDescent="0.2">
      <c r="B50" s="1" t="s">
        <v>81</v>
      </c>
      <c r="C50" s="1">
        <v>9</v>
      </c>
      <c r="D50" s="1" t="s">
        <v>12</v>
      </c>
      <c r="E50" s="1" t="s">
        <v>284</v>
      </c>
      <c r="K50" s="1">
        <v>0</v>
      </c>
      <c r="L50" s="1" t="s">
        <v>284</v>
      </c>
    </row>
    <row r="51" spans="2:16" x14ac:dyDescent="0.2">
      <c r="B51" s="1" t="s">
        <v>81</v>
      </c>
      <c r="C51" s="1">
        <v>10</v>
      </c>
      <c r="D51" s="1" t="s">
        <v>304</v>
      </c>
      <c r="E51" s="1" t="s">
        <v>175</v>
      </c>
      <c r="F51" s="1" t="s">
        <v>389</v>
      </c>
      <c r="G51" s="1" t="s">
        <v>390</v>
      </c>
      <c r="H51" s="1">
        <v>108</v>
      </c>
      <c r="I51" s="1">
        <v>8</v>
      </c>
      <c r="J51" s="1" t="s">
        <v>362</v>
      </c>
      <c r="M51" s="1" t="s">
        <v>391</v>
      </c>
      <c r="N51" s="1" t="s">
        <v>392</v>
      </c>
    </row>
    <row r="52" spans="2:16" x14ac:dyDescent="0.2">
      <c r="B52" s="1" t="s">
        <v>81</v>
      </c>
      <c r="C52" s="1">
        <v>10</v>
      </c>
      <c r="D52" s="1" t="s">
        <v>12</v>
      </c>
      <c r="E52" s="1" t="s">
        <v>175</v>
      </c>
      <c r="K52" s="1">
        <v>0</v>
      </c>
      <c r="L52" s="1" t="s">
        <v>175</v>
      </c>
    </row>
    <row r="53" spans="2:16" x14ac:dyDescent="0.2">
      <c r="B53" s="1" t="s">
        <v>81</v>
      </c>
      <c r="C53" s="1">
        <v>11</v>
      </c>
      <c r="D53" s="1" t="s">
        <v>304</v>
      </c>
      <c r="E53" s="1" t="s">
        <v>190</v>
      </c>
      <c r="F53" s="1" t="s">
        <v>190</v>
      </c>
      <c r="G53" s="1" t="s">
        <v>393</v>
      </c>
      <c r="H53" s="1">
        <v>125</v>
      </c>
      <c r="I53" s="1">
        <v>6</v>
      </c>
      <c r="J53" s="1" t="s">
        <v>362</v>
      </c>
      <c r="M53" s="1" t="s">
        <v>394</v>
      </c>
      <c r="N53" s="1" t="s">
        <v>395</v>
      </c>
      <c r="O53" s="1" t="s">
        <v>396</v>
      </c>
      <c r="P53" s="1" t="s">
        <v>397</v>
      </c>
    </row>
    <row r="54" spans="2:16" x14ac:dyDescent="0.2">
      <c r="B54" s="1" t="s">
        <v>81</v>
      </c>
      <c r="C54" s="1">
        <v>11</v>
      </c>
      <c r="D54" s="1" t="s">
        <v>12</v>
      </c>
      <c r="E54" s="1" t="s">
        <v>190</v>
      </c>
      <c r="K54" s="1">
        <v>0</v>
      </c>
      <c r="L54" s="1" t="s">
        <v>190</v>
      </c>
    </row>
    <row r="55" spans="2:16" x14ac:dyDescent="0.2">
      <c r="B55" s="1" t="s">
        <v>81</v>
      </c>
      <c r="C55" s="1">
        <v>12</v>
      </c>
      <c r="D55" s="1" t="s">
        <v>304</v>
      </c>
      <c r="E55" s="1" t="s">
        <v>217</v>
      </c>
      <c r="F55" s="1" t="s">
        <v>398</v>
      </c>
      <c r="G55" s="1" t="s">
        <v>399</v>
      </c>
      <c r="H55" s="1">
        <v>127</v>
      </c>
      <c r="I55" s="1">
        <v>7</v>
      </c>
      <c r="J55" s="1" t="s">
        <v>362</v>
      </c>
      <c r="M55" s="1" t="s">
        <v>400</v>
      </c>
      <c r="N55" s="1" t="s">
        <v>401</v>
      </c>
      <c r="O55" s="1" t="s">
        <v>402</v>
      </c>
      <c r="P55" s="1" t="s">
        <v>403</v>
      </c>
    </row>
    <row r="56" spans="2:16" x14ac:dyDescent="0.2">
      <c r="B56" s="1" t="s">
        <v>81</v>
      </c>
      <c r="C56" s="1">
        <v>12</v>
      </c>
      <c r="D56" s="1" t="s">
        <v>12</v>
      </c>
      <c r="E56" s="1" t="s">
        <v>217</v>
      </c>
      <c r="K56" s="1">
        <v>0</v>
      </c>
      <c r="L56" s="1" t="s">
        <v>217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ColWidth="8.88671875"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3320312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414</v>
      </c>
    </row>
    <row r="3" spans="1:6" x14ac:dyDescent="0.2">
      <c r="B3" s="16" t="s">
        <v>413</v>
      </c>
    </row>
    <row r="4" spans="1:6" x14ac:dyDescent="0.2">
      <c r="B4" s="1" t="s">
        <v>129</v>
      </c>
    </row>
    <row r="6" spans="1:6" x14ac:dyDescent="0.2">
      <c r="B6" s="4" t="s">
        <v>110</v>
      </c>
      <c r="C6" s="19" t="s">
        <v>1213</v>
      </c>
    </row>
    <row r="7" spans="1:6" x14ac:dyDescent="0.2">
      <c r="B7" s="4" t="s">
        <v>111</v>
      </c>
      <c r="C7" s="19" t="s">
        <v>1213</v>
      </c>
    </row>
    <row r="8" spans="1:6" x14ac:dyDescent="0.2">
      <c r="B8" s="4" t="s">
        <v>109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310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297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415</v>
      </c>
      <c r="E23" s="21">
        <v>458830.45809412998</v>
      </c>
      <c r="F23" s="23" t="s">
        <v>21</v>
      </c>
    </row>
    <row r="25" spans="1:7" x14ac:dyDescent="0.2">
      <c r="A25" s="4" t="s">
        <v>131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310</v>
      </c>
      <c r="C27" s="29" t="s">
        <v>24</v>
      </c>
      <c r="D27" s="29" t="s">
        <v>25</v>
      </c>
      <c r="E27" s="29" t="s">
        <v>297</v>
      </c>
      <c r="F27" s="29" t="s">
        <v>27</v>
      </c>
      <c r="G27" s="26" t="s">
        <v>415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132</v>
      </c>
    </row>
    <row r="32" spans="1:7" x14ac:dyDescent="0.2">
      <c r="B32" s="2" t="s">
        <v>298</v>
      </c>
      <c r="C32" s="2"/>
      <c r="D32" s="2"/>
    </row>
    <row r="33" spans="2:8" x14ac:dyDescent="0.2">
      <c r="B33" s="1" t="s">
        <v>1</v>
      </c>
      <c r="C33" s="1" t="s">
        <v>416</v>
      </c>
      <c r="D33" s="1" t="s">
        <v>304</v>
      </c>
      <c r="E33" s="1" t="s">
        <v>12</v>
      </c>
      <c r="F33" s="1" t="s">
        <v>305</v>
      </c>
      <c r="G33" s="1" t="s">
        <v>417</v>
      </c>
      <c r="H33" s="1" t="s">
        <v>418</v>
      </c>
    </row>
    <row r="34" spans="2:8" x14ac:dyDescent="0.2">
      <c r="B34" s="1">
        <v>1</v>
      </c>
      <c r="C34" s="1" t="s">
        <v>421</v>
      </c>
      <c r="D34" s="1" t="s">
        <v>33</v>
      </c>
      <c r="E34" s="1">
        <v>0</v>
      </c>
      <c r="F34" s="1">
        <v>0</v>
      </c>
      <c r="G34" s="1">
        <v>0</v>
      </c>
      <c r="H34" s="1" t="s">
        <v>420</v>
      </c>
    </row>
    <row r="35" spans="2:8" x14ac:dyDescent="0.2">
      <c r="B35" s="1">
        <v>2</v>
      </c>
      <c r="C35" s="1" t="s">
        <v>422</v>
      </c>
      <c r="D35" s="1" t="s">
        <v>46</v>
      </c>
      <c r="E35" s="1">
        <v>0</v>
      </c>
      <c r="F35" s="1">
        <v>0</v>
      </c>
      <c r="G35" s="1">
        <v>0</v>
      </c>
      <c r="H35" s="1" t="s">
        <v>420</v>
      </c>
    </row>
    <row r="36" spans="2:8" x14ac:dyDescent="0.2">
      <c r="B36" s="1">
        <v>3</v>
      </c>
      <c r="C36" s="1" t="s">
        <v>423</v>
      </c>
      <c r="D36" s="1" t="s">
        <v>355</v>
      </c>
      <c r="E36" s="1">
        <v>0</v>
      </c>
      <c r="F36" s="1">
        <v>0</v>
      </c>
      <c r="G36" s="1">
        <v>0</v>
      </c>
      <c r="H36" s="1" t="s">
        <v>420</v>
      </c>
    </row>
    <row r="37" spans="2:8" x14ac:dyDescent="0.2">
      <c r="B37" s="1">
        <v>4</v>
      </c>
      <c r="C37" s="1" t="s">
        <v>424</v>
      </c>
      <c r="D37" s="1" t="s">
        <v>47</v>
      </c>
      <c r="E37" s="1">
        <v>0</v>
      </c>
      <c r="F37" s="1">
        <v>0</v>
      </c>
      <c r="G37" s="1">
        <v>0</v>
      </c>
      <c r="H37" s="1" t="s">
        <v>420</v>
      </c>
    </row>
    <row r="38" spans="2:8" x14ac:dyDescent="0.2">
      <c r="B38" s="1">
        <v>5</v>
      </c>
      <c r="C38" s="1" t="s">
        <v>425</v>
      </c>
      <c r="D38" s="1" t="s">
        <v>173</v>
      </c>
      <c r="E38" s="1">
        <v>0</v>
      </c>
      <c r="F38" s="1">
        <v>0</v>
      </c>
      <c r="G38" s="1">
        <v>0</v>
      </c>
      <c r="H38" s="1" t="s">
        <v>420</v>
      </c>
    </row>
    <row r="39" spans="2:8" x14ac:dyDescent="0.2">
      <c r="B39" s="1">
        <v>6</v>
      </c>
      <c r="C39" s="39" t="s">
        <v>426</v>
      </c>
      <c r="D39" s="1" t="s">
        <v>352</v>
      </c>
      <c r="E39" s="1">
        <v>0</v>
      </c>
      <c r="F39" s="1">
        <v>0</v>
      </c>
      <c r="G39" s="1">
        <v>0</v>
      </c>
      <c r="H39" s="1" t="s">
        <v>420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ColWidth="8.88671875" defaultRowHeight="13.8" x14ac:dyDescent="0.25"/>
  <cols>
    <col min="1" max="1" width="3.6640625" style="40" customWidth="1"/>
    <col min="2" max="6" width="17.33203125" style="40" customWidth="1"/>
    <col min="7" max="16384" width="8.88671875" style="40"/>
  </cols>
  <sheetData>
    <row r="1" spans="1:6" s="1" customFormat="1" ht="11.4" x14ac:dyDescent="0.2"/>
    <row r="2" spans="1:6" s="1" customFormat="1" ht="17.399999999999999" x14ac:dyDescent="0.3">
      <c r="B2" s="18" t="s">
        <v>427</v>
      </c>
    </row>
    <row r="3" spans="1:6" s="1" customFormat="1" ht="11.4" x14ac:dyDescent="0.2">
      <c r="B3" s="16" t="s">
        <v>428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36</v>
      </c>
      <c r="C6" s="19" t="s">
        <v>1213</v>
      </c>
    </row>
    <row r="7" spans="1:6" s="1" customFormat="1" ht="11.4" x14ac:dyDescent="0.2">
      <c r="B7" s="4" t="s">
        <v>37</v>
      </c>
      <c r="C7" s="19" t="s">
        <v>1213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476</v>
      </c>
    </row>
    <row r="14" spans="1:6" s="1" customFormat="1" ht="11.4" x14ac:dyDescent="0.2"/>
    <row r="15" spans="1:6" s="1" customFormat="1" ht="11.4" x14ac:dyDescent="0.2">
      <c r="A15" s="4" t="s">
        <v>130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304</v>
      </c>
      <c r="E18" s="1" t="s">
        <v>429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297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430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306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431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432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433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434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435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436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131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304</v>
      </c>
      <c r="C35" s="29" t="s">
        <v>297</v>
      </c>
      <c r="D35" s="29" t="s">
        <v>27</v>
      </c>
      <c r="E35" s="29" t="s">
        <v>430</v>
      </c>
      <c r="F35" s="29" t="s">
        <v>306</v>
      </c>
      <c r="G35" s="29" t="s">
        <v>431</v>
      </c>
      <c r="H35" s="29" t="s">
        <v>432</v>
      </c>
      <c r="I35" s="29" t="s">
        <v>433</v>
      </c>
      <c r="J35" s="29" t="s">
        <v>24</v>
      </c>
      <c r="K35" s="29" t="s">
        <v>4</v>
      </c>
      <c r="L35" s="29" t="s">
        <v>434</v>
      </c>
      <c r="M35" s="29" t="s">
        <v>435</v>
      </c>
      <c r="N35" s="29" t="s">
        <v>436</v>
      </c>
      <c r="O35" s="26" t="s">
        <v>25</v>
      </c>
    </row>
    <row r="36" spans="1:15" s="1" customFormat="1" ht="12" thickBot="1" x14ac:dyDescent="0.25">
      <c r="B36" s="20" t="s">
        <v>429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132</v>
      </c>
    </row>
    <row r="39" spans="1:15" s="1" customFormat="1" ht="11.4" x14ac:dyDescent="0.2"/>
    <row r="40" spans="1:15" s="1" customFormat="1" ht="11.4" x14ac:dyDescent="0.2">
      <c r="B40" s="2" t="s">
        <v>298</v>
      </c>
      <c r="C40" s="2"/>
      <c r="D40" s="2"/>
    </row>
    <row r="41" spans="1:15" s="1" customFormat="1" ht="11.4" x14ac:dyDescent="0.2">
      <c r="B41" s="1" t="s">
        <v>1</v>
      </c>
      <c r="C41" s="1" t="s">
        <v>475</v>
      </c>
      <c r="D41" s="1" t="s">
        <v>12</v>
      </c>
    </row>
    <row r="42" spans="1:15" s="1" customFormat="1" ht="11.4" x14ac:dyDescent="0.2">
      <c r="B42" s="1" t="s">
        <v>437</v>
      </c>
      <c r="C42" s="1">
        <v>0</v>
      </c>
      <c r="D42" s="1">
        <v>0</v>
      </c>
    </row>
    <row r="43" spans="1:15" s="1" customFormat="1" ht="11.4" x14ac:dyDescent="0.2">
      <c r="B43" s="1" t="s">
        <v>438</v>
      </c>
      <c r="C43" s="1">
        <v>0</v>
      </c>
      <c r="D43" s="1">
        <v>0</v>
      </c>
    </row>
    <row r="44" spans="1:15" s="1" customFormat="1" ht="11.4" x14ac:dyDescent="0.2">
      <c r="B44" s="1" t="s">
        <v>439</v>
      </c>
      <c r="C44" s="1">
        <v>0</v>
      </c>
      <c r="D44" s="1">
        <v>0</v>
      </c>
    </row>
    <row r="45" spans="1:15" s="1" customFormat="1" ht="11.4" x14ac:dyDescent="0.2">
      <c r="B45" s="1" t="s">
        <v>440</v>
      </c>
      <c r="C45" s="1">
        <v>0</v>
      </c>
      <c r="D45" s="1">
        <v>0</v>
      </c>
    </row>
    <row r="46" spans="1:15" s="1" customFormat="1" ht="11.4" x14ac:dyDescent="0.2">
      <c r="B46" s="1" t="s">
        <v>441</v>
      </c>
      <c r="C46" s="1">
        <v>0</v>
      </c>
      <c r="D46" s="1">
        <v>0</v>
      </c>
    </row>
    <row r="47" spans="1:15" s="1" customFormat="1" ht="11.4" x14ac:dyDescent="0.2">
      <c r="B47" s="1" t="s">
        <v>302</v>
      </c>
      <c r="C47" s="1">
        <v>0</v>
      </c>
      <c r="D47" s="1">
        <v>0</v>
      </c>
    </row>
    <row r="48" spans="1:15" s="1" customFormat="1" ht="11.4" x14ac:dyDescent="0.2">
      <c r="B48" s="1" t="s">
        <v>442</v>
      </c>
      <c r="C48" s="1">
        <v>0</v>
      </c>
      <c r="D48" s="1">
        <v>0</v>
      </c>
    </row>
    <row r="49" spans="2:4" s="1" customFormat="1" ht="11.4" x14ac:dyDescent="0.2">
      <c r="B49" s="1" t="s">
        <v>303</v>
      </c>
      <c r="C49" s="1">
        <v>0</v>
      </c>
      <c r="D49" s="1">
        <v>0</v>
      </c>
    </row>
    <row r="50" spans="2:4" s="1" customFormat="1" ht="11.4" x14ac:dyDescent="0.2">
      <c r="B50" s="1" t="s">
        <v>443</v>
      </c>
      <c r="C50" s="1">
        <v>0</v>
      </c>
      <c r="D50" s="1">
        <v>0</v>
      </c>
    </row>
    <row r="51" spans="2:4" s="1" customFormat="1" ht="11.4" x14ac:dyDescent="0.2">
      <c r="B51" s="1" t="s">
        <v>444</v>
      </c>
      <c r="C51" s="1">
        <v>0</v>
      </c>
      <c r="D51" s="1">
        <v>0</v>
      </c>
    </row>
    <row r="52" spans="2:4" s="1" customFormat="1" ht="11.4" x14ac:dyDescent="0.2">
      <c r="B52" s="1" t="s">
        <v>445</v>
      </c>
      <c r="C52" s="1">
        <v>0</v>
      </c>
      <c r="D52" s="1">
        <v>0</v>
      </c>
    </row>
    <row r="53" spans="2:4" s="1" customFormat="1" ht="11.4" x14ac:dyDescent="0.2">
      <c r="B53" s="1" t="s">
        <v>446</v>
      </c>
      <c r="C53" s="1">
        <v>0</v>
      </c>
      <c r="D53" s="1">
        <v>0</v>
      </c>
    </row>
    <row r="54" spans="2:4" s="1" customFormat="1" ht="11.4" x14ac:dyDescent="0.2">
      <c r="B54" s="1" t="s">
        <v>447</v>
      </c>
      <c r="C54" s="1">
        <v>0</v>
      </c>
      <c r="D54" s="1">
        <v>0</v>
      </c>
    </row>
    <row r="55" spans="2:4" s="1" customFormat="1" ht="11.4" x14ac:dyDescent="0.2">
      <c r="B55" s="1" t="s">
        <v>448</v>
      </c>
      <c r="C55" s="1">
        <v>0</v>
      </c>
      <c r="D55" s="1">
        <v>0</v>
      </c>
    </row>
    <row r="56" spans="2:4" s="1" customFormat="1" ht="11.4" x14ac:dyDescent="0.2">
      <c r="B56" s="1" t="s">
        <v>449</v>
      </c>
      <c r="C56" s="1">
        <v>0</v>
      </c>
      <c r="D56" s="1">
        <v>0</v>
      </c>
    </row>
    <row r="57" spans="2:4" s="1" customFormat="1" ht="11.4" x14ac:dyDescent="0.2">
      <c r="B57" s="1" t="s">
        <v>450</v>
      </c>
      <c r="C57" s="1">
        <v>0</v>
      </c>
      <c r="D57" s="1">
        <v>0</v>
      </c>
    </row>
    <row r="58" spans="2:4" s="1" customFormat="1" ht="11.4" x14ac:dyDescent="0.2">
      <c r="B58" s="1" t="s">
        <v>300</v>
      </c>
      <c r="C58" s="1">
        <v>0</v>
      </c>
      <c r="D58" s="1">
        <v>0</v>
      </c>
    </row>
    <row r="59" spans="2:4" s="1" customFormat="1" ht="11.4" x14ac:dyDescent="0.2">
      <c r="B59" s="1" t="s">
        <v>451</v>
      </c>
      <c r="C59" s="1">
        <v>0</v>
      </c>
      <c r="D59" s="1">
        <v>0</v>
      </c>
    </row>
    <row r="60" spans="2:4" s="1" customFormat="1" ht="11.4" x14ac:dyDescent="0.2">
      <c r="B60" s="1" t="s">
        <v>452</v>
      </c>
      <c r="C60" s="1">
        <v>0</v>
      </c>
      <c r="D60" s="1">
        <v>0</v>
      </c>
    </row>
    <row r="61" spans="2:4" s="1" customFormat="1" ht="11.4" x14ac:dyDescent="0.2">
      <c r="B61" s="1" t="s">
        <v>453</v>
      </c>
      <c r="C61" s="1">
        <v>0</v>
      </c>
      <c r="D61" s="1">
        <v>0</v>
      </c>
    </row>
    <row r="62" spans="2:4" s="1" customFormat="1" ht="11.4" x14ac:dyDescent="0.2">
      <c r="B62" s="1" t="s">
        <v>454</v>
      </c>
      <c r="C62" s="1">
        <v>0</v>
      </c>
      <c r="D62" s="1">
        <v>0</v>
      </c>
    </row>
    <row r="63" spans="2:4" s="1" customFormat="1" ht="11.4" x14ac:dyDescent="0.2">
      <c r="B63" s="1" t="s">
        <v>455</v>
      </c>
      <c r="C63" s="1">
        <v>0</v>
      </c>
      <c r="D63" s="1">
        <v>0</v>
      </c>
    </row>
    <row r="64" spans="2:4" s="1" customFormat="1" ht="11.4" x14ac:dyDescent="0.2">
      <c r="B64" s="1" t="s">
        <v>456</v>
      </c>
      <c r="C64" s="1">
        <v>0</v>
      </c>
      <c r="D64" s="1">
        <v>0</v>
      </c>
    </row>
    <row r="65" spans="2:4" s="1" customFormat="1" ht="11.4" x14ac:dyDescent="0.2">
      <c r="B65" s="1" t="s">
        <v>457</v>
      </c>
      <c r="C65" s="1">
        <v>0</v>
      </c>
      <c r="D65" s="1">
        <v>0</v>
      </c>
    </row>
    <row r="66" spans="2:4" s="1" customFormat="1" ht="11.4" x14ac:dyDescent="0.2">
      <c r="B66" s="1" t="s">
        <v>458</v>
      </c>
      <c r="C66" s="1">
        <v>0</v>
      </c>
      <c r="D66" s="1">
        <v>0</v>
      </c>
    </row>
    <row r="67" spans="2:4" s="1" customFormat="1" ht="11.4" x14ac:dyDescent="0.2">
      <c r="B67" s="1" t="s">
        <v>459</v>
      </c>
      <c r="C67" s="1">
        <v>0</v>
      </c>
      <c r="D67" s="1">
        <v>0</v>
      </c>
    </row>
    <row r="68" spans="2:4" s="1" customFormat="1" ht="11.4" x14ac:dyDescent="0.2">
      <c r="B68" s="1" t="s">
        <v>460</v>
      </c>
      <c r="C68" s="1">
        <v>0</v>
      </c>
      <c r="D68" s="1">
        <v>0</v>
      </c>
    </row>
    <row r="69" spans="2:4" s="1" customFormat="1" ht="11.4" x14ac:dyDescent="0.2">
      <c r="B69" s="1" t="s">
        <v>461</v>
      </c>
      <c r="C69" s="1">
        <v>0</v>
      </c>
      <c r="D69" s="1">
        <v>0</v>
      </c>
    </row>
    <row r="70" spans="2:4" s="1" customFormat="1" ht="11.4" x14ac:dyDescent="0.2">
      <c r="B70" s="1" t="s">
        <v>462</v>
      </c>
      <c r="C70" s="1">
        <v>0</v>
      </c>
      <c r="D70" s="1">
        <v>0</v>
      </c>
    </row>
    <row r="71" spans="2:4" s="1" customFormat="1" ht="11.4" x14ac:dyDescent="0.2">
      <c r="B71" s="1" t="s">
        <v>463</v>
      </c>
      <c r="C71" s="1">
        <v>0</v>
      </c>
      <c r="D71" s="1">
        <v>0</v>
      </c>
    </row>
    <row r="72" spans="2:4" s="1" customFormat="1" ht="11.4" x14ac:dyDescent="0.2">
      <c r="B72" s="1" t="s">
        <v>81</v>
      </c>
      <c r="C72" s="1">
        <v>0</v>
      </c>
      <c r="D72" s="1">
        <v>0</v>
      </c>
    </row>
    <row r="73" spans="2:4" s="1" customFormat="1" ht="11.4" x14ac:dyDescent="0.2">
      <c r="B73" s="1" t="s">
        <v>464</v>
      </c>
      <c r="C73" s="1">
        <v>0</v>
      </c>
      <c r="D73" s="1">
        <v>0</v>
      </c>
    </row>
    <row r="74" spans="2:4" s="1" customFormat="1" ht="11.4" x14ac:dyDescent="0.2">
      <c r="B74" s="1" t="s">
        <v>301</v>
      </c>
      <c r="C74" s="1">
        <v>0</v>
      </c>
      <c r="D74" s="1">
        <v>0</v>
      </c>
    </row>
    <row r="75" spans="2:4" s="1" customFormat="1" ht="11.4" x14ac:dyDescent="0.2">
      <c r="B75" s="1" t="s">
        <v>465</v>
      </c>
      <c r="C75" s="1">
        <v>0</v>
      </c>
      <c r="D75" s="1">
        <v>0</v>
      </c>
    </row>
    <row r="76" spans="2:4" s="1" customFormat="1" ht="11.4" x14ac:dyDescent="0.2">
      <c r="B76" s="1" t="s">
        <v>466</v>
      </c>
      <c r="C76" s="1">
        <v>0</v>
      </c>
      <c r="D76" s="1">
        <v>0</v>
      </c>
    </row>
    <row r="77" spans="2:4" s="1" customFormat="1" ht="11.4" x14ac:dyDescent="0.2">
      <c r="B77" s="1" t="s">
        <v>467</v>
      </c>
      <c r="C77" s="1">
        <v>0</v>
      </c>
      <c r="D77" s="1">
        <v>0</v>
      </c>
    </row>
    <row r="78" spans="2:4" s="1" customFormat="1" ht="11.4" x14ac:dyDescent="0.2">
      <c r="B78" s="1" t="s">
        <v>468</v>
      </c>
      <c r="C78" s="1">
        <v>0</v>
      </c>
      <c r="D78" s="1">
        <v>0</v>
      </c>
    </row>
    <row r="79" spans="2:4" s="1" customFormat="1" ht="11.4" x14ac:dyDescent="0.2">
      <c r="B79" s="1" t="s">
        <v>469</v>
      </c>
      <c r="C79" s="1">
        <v>0</v>
      </c>
      <c r="D79" s="1">
        <v>0</v>
      </c>
    </row>
    <row r="80" spans="2:4" s="1" customFormat="1" ht="11.4" x14ac:dyDescent="0.2">
      <c r="B80" s="1" t="s">
        <v>470</v>
      </c>
      <c r="C80" s="1">
        <v>0</v>
      </c>
      <c r="D80" s="1">
        <v>0</v>
      </c>
    </row>
    <row r="81" spans="2:4" s="1" customFormat="1" ht="11.4" x14ac:dyDescent="0.2">
      <c r="B81" s="1" t="s">
        <v>471</v>
      </c>
      <c r="C81" s="1">
        <v>0</v>
      </c>
      <c r="D81" s="1">
        <v>0</v>
      </c>
    </row>
    <row r="82" spans="2:4" s="1" customFormat="1" ht="11.4" x14ac:dyDescent="0.2">
      <c r="B82" s="1" t="s">
        <v>429</v>
      </c>
      <c r="C82" s="1">
        <v>0</v>
      </c>
      <c r="D82" s="1">
        <v>0</v>
      </c>
    </row>
    <row r="83" spans="2:4" s="1" customFormat="1" ht="11.4" x14ac:dyDescent="0.2">
      <c r="B83" s="1" t="s">
        <v>472</v>
      </c>
      <c r="C83" s="1">
        <v>0</v>
      </c>
      <c r="D83" s="1">
        <v>0</v>
      </c>
    </row>
    <row r="84" spans="2:4" s="1" customFormat="1" ht="11.4" x14ac:dyDescent="0.2">
      <c r="B84" s="1" t="s">
        <v>473</v>
      </c>
      <c r="C84" s="1">
        <v>0</v>
      </c>
      <c r="D84" s="1">
        <v>0</v>
      </c>
    </row>
    <row r="85" spans="2:4" s="1" customFormat="1" ht="11.4" x14ac:dyDescent="0.2">
      <c r="B85" s="1" t="s">
        <v>474</v>
      </c>
      <c r="C85" s="1">
        <v>0</v>
      </c>
      <c r="D85" s="1">
        <v>0</v>
      </c>
    </row>
    <row r="86" spans="2:4" s="1" customFormat="1" x14ac:dyDescent="0.25">
      <c r="B86" s="40"/>
      <c r="C86" s="40"/>
      <c r="D86" s="40"/>
    </row>
    <row r="87" spans="2:4" s="1" customFormat="1" x14ac:dyDescent="0.25">
      <c r="B87" s="40"/>
      <c r="C87" s="40"/>
      <c r="D87" s="40"/>
    </row>
    <row r="88" spans="2:4" s="1" customFormat="1" x14ac:dyDescent="0.25">
      <c r="B88" s="40"/>
      <c r="C88" s="40"/>
      <c r="D88" s="40"/>
    </row>
    <row r="89" spans="2:4" s="1" customFormat="1" x14ac:dyDescent="0.25">
      <c r="B89" s="40"/>
      <c r="C89" s="40"/>
      <c r="D89" s="40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A15" sqref="A15"/>
    </sheetView>
  </sheetViews>
  <sheetFormatPr defaultColWidth="8.88671875" defaultRowHeight="11.4" x14ac:dyDescent="0.2"/>
  <cols>
    <col min="1" max="1" width="5" style="1" customWidth="1"/>
    <col min="2" max="2" width="20.6640625" style="1" customWidth="1"/>
    <col min="3" max="3" width="18.33203125" style="1" bestFit="1" customWidth="1"/>
    <col min="4" max="16384" width="8.88671875" style="1"/>
  </cols>
  <sheetData>
    <row r="2" spans="1:6" s="35" customFormat="1" ht="17.399999999999999" x14ac:dyDescent="0.3">
      <c r="B2" s="18" t="s">
        <v>477</v>
      </c>
    </row>
    <row r="3" spans="1:6" x14ac:dyDescent="0.2">
      <c r="B3" s="16" t="s">
        <v>428</v>
      </c>
    </row>
    <row r="4" spans="1:6" x14ac:dyDescent="0.2">
      <c r="B4" s="1" t="s">
        <v>129</v>
      </c>
    </row>
    <row r="6" spans="1:6" x14ac:dyDescent="0.2">
      <c r="B6" s="4" t="s">
        <v>102</v>
      </c>
      <c r="C6" s="19" t="s">
        <v>1213</v>
      </c>
    </row>
    <row r="7" spans="1:6" x14ac:dyDescent="0.2">
      <c r="B7" s="4" t="s">
        <v>103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478</v>
      </c>
      <c r="E18" s="1" t="s">
        <v>479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480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480</v>
      </c>
      <c r="D20" s="1" t="s">
        <v>302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302</v>
      </c>
      <c r="D21" s="1" t="s">
        <v>307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302</v>
      </c>
      <c r="D22" s="1" t="s">
        <v>309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302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480</v>
      </c>
      <c r="D24" s="1" t="s">
        <v>470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470</v>
      </c>
      <c r="D25" s="1" t="s">
        <v>307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470</v>
      </c>
      <c r="D26" s="1" t="s">
        <v>309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470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480</v>
      </c>
      <c r="D28" s="1" t="s">
        <v>481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481</v>
      </c>
      <c r="D29" s="1" t="s">
        <v>307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481</v>
      </c>
      <c r="D30" s="1" t="s">
        <v>309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481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480</v>
      </c>
      <c r="D32" s="1" t="s">
        <v>429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429</v>
      </c>
      <c r="D33" s="1" t="s">
        <v>307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429</v>
      </c>
      <c r="D34" s="1" t="s">
        <v>309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429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480</v>
      </c>
      <c r="D36" s="1" t="s">
        <v>482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482</v>
      </c>
      <c r="D37" s="1" t="s">
        <v>307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482</v>
      </c>
      <c r="D38" s="1" t="s">
        <v>309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482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480</v>
      </c>
      <c r="D40" s="1" t="s">
        <v>483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483</v>
      </c>
      <c r="D41" s="1" t="s">
        <v>307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483</v>
      </c>
      <c r="D42" s="1" t="s">
        <v>309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483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480</v>
      </c>
      <c r="D44" s="1" t="s">
        <v>455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455</v>
      </c>
      <c r="D45" s="1" t="s">
        <v>307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455</v>
      </c>
      <c r="D46" s="1" t="s">
        <v>309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455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480</v>
      </c>
      <c r="D48" s="1" t="s">
        <v>445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445</v>
      </c>
      <c r="D49" s="1" t="s">
        <v>307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445</v>
      </c>
      <c r="D50" s="1" t="s">
        <v>309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445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480</v>
      </c>
      <c r="D52" s="1" t="s">
        <v>303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303</v>
      </c>
      <c r="D53" s="1" t="s">
        <v>307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303</v>
      </c>
      <c r="D54" s="1" t="s">
        <v>309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303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480</v>
      </c>
      <c r="D56" s="1" t="s">
        <v>484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484</v>
      </c>
      <c r="D57" s="1" t="s">
        <v>307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484</v>
      </c>
      <c r="D58" s="1" t="s">
        <v>309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484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131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307</v>
      </c>
      <c r="E67" s="29" t="s">
        <v>309</v>
      </c>
      <c r="F67" s="26" t="s">
        <v>27</v>
      </c>
    </row>
    <row r="68" spans="1:6" x14ac:dyDescent="0.2">
      <c r="B68" s="31" t="s">
        <v>480</v>
      </c>
      <c r="C68" s="1" t="s">
        <v>302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480</v>
      </c>
      <c r="C69" s="1" t="s">
        <v>470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480</v>
      </c>
      <c r="C70" s="1" t="s">
        <v>481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480</v>
      </c>
      <c r="C71" s="1" t="s">
        <v>429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480</v>
      </c>
      <c r="C72" s="1" t="s">
        <v>482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480</v>
      </c>
      <c r="C73" s="1" t="s">
        <v>483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480</v>
      </c>
      <c r="C74" s="1" t="s">
        <v>455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480</v>
      </c>
      <c r="C75" s="1" t="s">
        <v>445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480</v>
      </c>
      <c r="C76" s="1" t="s">
        <v>303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480</v>
      </c>
      <c r="C77" s="21" t="s">
        <v>484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132</v>
      </c>
    </row>
    <row r="82" spans="2:4" x14ac:dyDescent="0.2">
      <c r="B82" s="2" t="s">
        <v>298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302</v>
      </c>
      <c r="C84" s="1">
        <v>0</v>
      </c>
    </row>
    <row r="85" spans="2:4" x14ac:dyDescent="0.2">
      <c r="B85" s="1" t="s">
        <v>470</v>
      </c>
      <c r="C85" s="1">
        <v>0</v>
      </c>
    </row>
    <row r="86" spans="2:4" x14ac:dyDescent="0.2">
      <c r="B86" s="1" t="s">
        <v>481</v>
      </c>
      <c r="C86" s="1">
        <v>0</v>
      </c>
    </row>
    <row r="87" spans="2:4" x14ac:dyDescent="0.2">
      <c r="B87" s="1" t="s">
        <v>1203</v>
      </c>
      <c r="C87" s="1">
        <v>0</v>
      </c>
    </row>
    <row r="88" spans="2:4" x14ac:dyDescent="0.2">
      <c r="B88" s="1" t="s">
        <v>1204</v>
      </c>
      <c r="C88" s="1">
        <v>0</v>
      </c>
    </row>
    <row r="89" spans="2:4" x14ac:dyDescent="0.2">
      <c r="B89" s="1" t="s">
        <v>1205</v>
      </c>
      <c r="C89" s="1">
        <v>0</v>
      </c>
    </row>
    <row r="90" spans="2:4" x14ac:dyDescent="0.2">
      <c r="B90" s="1" t="s">
        <v>1206</v>
      </c>
      <c r="C90" s="1">
        <v>0</v>
      </c>
    </row>
    <row r="91" spans="2:4" x14ac:dyDescent="0.2">
      <c r="B91" s="1" t="s">
        <v>1207</v>
      </c>
      <c r="C91" s="1">
        <v>0</v>
      </c>
    </row>
    <row r="92" spans="2:4" x14ac:dyDescent="0.2">
      <c r="B92" s="1" t="s">
        <v>1208</v>
      </c>
      <c r="C92" s="1">
        <v>0</v>
      </c>
    </row>
    <row r="93" spans="2:4" x14ac:dyDescent="0.2">
      <c r="B93" s="1" t="s">
        <v>1209</v>
      </c>
      <c r="C93" s="1">
        <v>0</v>
      </c>
    </row>
    <row r="94" spans="2:4" x14ac:dyDescent="0.2">
      <c r="B94" s="1" t="s">
        <v>1210</v>
      </c>
      <c r="C94" s="1">
        <v>0</v>
      </c>
    </row>
    <row r="95" spans="2:4" x14ac:dyDescent="0.2">
      <c r="B95" s="1" t="s">
        <v>1211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B16" sqref="B16:F16"/>
    </sheetView>
  </sheetViews>
  <sheetFormatPr defaultColWidth="8.88671875"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485</v>
      </c>
    </row>
    <row r="3" spans="1:6" x14ac:dyDescent="0.2">
      <c r="B3" s="16" t="s">
        <v>486</v>
      </c>
    </row>
    <row r="4" spans="1:6" x14ac:dyDescent="0.2">
      <c r="B4" s="1" t="s">
        <v>129</v>
      </c>
    </row>
    <row r="6" spans="1:6" x14ac:dyDescent="0.2">
      <c r="B6" s="4" t="s">
        <v>487</v>
      </c>
      <c r="C6" s="19" t="s">
        <v>1213</v>
      </c>
    </row>
    <row r="7" spans="1:6" x14ac:dyDescent="0.2">
      <c r="B7" s="4" t="s">
        <v>488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489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416</v>
      </c>
      <c r="E18" s="1" t="s">
        <v>217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490</v>
      </c>
      <c r="E19" s="1" t="s">
        <v>491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362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492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493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494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495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496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497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498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499</v>
      </c>
      <c r="E28" s="21">
        <v>40.000100000000003</v>
      </c>
      <c r="F28" s="23" t="s">
        <v>21</v>
      </c>
    </row>
    <row r="31" spans="1:6" x14ac:dyDescent="0.2">
      <c r="A31" s="4" t="s">
        <v>131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416</v>
      </c>
      <c r="C33" s="29" t="s">
        <v>490</v>
      </c>
      <c r="D33" s="29" t="s">
        <v>362</v>
      </c>
      <c r="E33" s="29" t="s">
        <v>492</v>
      </c>
      <c r="F33" s="29" t="s">
        <v>493</v>
      </c>
      <c r="G33" s="29" t="s">
        <v>494</v>
      </c>
      <c r="H33" s="29" t="s">
        <v>495</v>
      </c>
      <c r="I33" s="29" t="s">
        <v>496</v>
      </c>
      <c r="J33" s="29" t="s">
        <v>497</v>
      </c>
      <c r="K33" s="29" t="s">
        <v>498</v>
      </c>
      <c r="L33" s="26" t="s">
        <v>499</v>
      </c>
    </row>
    <row r="34" spans="1:12" ht="12" thickBot="1" x14ac:dyDescent="0.25">
      <c r="B34" s="20" t="s">
        <v>217</v>
      </c>
      <c r="C34" s="21" t="s">
        <v>491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132</v>
      </c>
    </row>
    <row r="39" spans="1:12" x14ac:dyDescent="0.2">
      <c r="B39" s="2" t="s">
        <v>298</v>
      </c>
      <c r="C39" s="2"/>
      <c r="D39" s="2"/>
    </row>
    <row r="40" spans="1:12" x14ac:dyDescent="0.2">
      <c r="B40" s="1" t="s">
        <v>1</v>
      </c>
      <c r="C40" s="1" t="s">
        <v>304</v>
      </c>
      <c r="D40" s="1" t="s">
        <v>305</v>
      </c>
      <c r="E40" s="1" t="s">
        <v>500</v>
      </c>
    </row>
    <row r="41" spans="1:12" x14ac:dyDescent="0.2">
      <c r="B41" s="1">
        <v>1</v>
      </c>
      <c r="C41" s="1" t="s">
        <v>501</v>
      </c>
      <c r="D41" s="1">
        <v>0</v>
      </c>
      <c r="E41" s="1">
        <v>0</v>
      </c>
    </row>
    <row r="42" spans="1:12" x14ac:dyDescent="0.2">
      <c r="B42" s="1">
        <v>2</v>
      </c>
      <c r="C42" s="1" t="s">
        <v>502</v>
      </c>
      <c r="D42" s="1">
        <v>0</v>
      </c>
      <c r="E42" s="1">
        <v>0</v>
      </c>
    </row>
    <row r="43" spans="1:12" x14ac:dyDescent="0.2">
      <c r="B43" s="1">
        <v>3</v>
      </c>
      <c r="C43" s="1" t="s">
        <v>503</v>
      </c>
      <c r="D43" s="1">
        <v>0</v>
      </c>
      <c r="E43" s="1">
        <v>0</v>
      </c>
    </row>
    <row r="44" spans="1:12" x14ac:dyDescent="0.2">
      <c r="B44" s="1">
        <v>4</v>
      </c>
      <c r="C44" s="1" t="s">
        <v>504</v>
      </c>
      <c r="D44" s="1">
        <v>0</v>
      </c>
      <c r="E44" s="1">
        <v>0</v>
      </c>
    </row>
    <row r="45" spans="1:12" x14ac:dyDescent="0.2">
      <c r="B45" s="1">
        <v>5</v>
      </c>
      <c r="C45" s="1" t="s">
        <v>505</v>
      </c>
      <c r="D45" s="1">
        <v>0</v>
      </c>
      <c r="E45" s="1">
        <v>0</v>
      </c>
    </row>
    <row r="46" spans="1:12" x14ac:dyDescent="0.2">
      <c r="B46" s="1">
        <v>6</v>
      </c>
      <c r="C46" s="1" t="s">
        <v>506</v>
      </c>
      <c r="D46" s="1">
        <v>0</v>
      </c>
      <c r="E46" s="1">
        <v>0</v>
      </c>
    </row>
    <row r="47" spans="1:12" x14ac:dyDescent="0.2">
      <c r="B47" s="1">
        <v>7</v>
      </c>
      <c r="C47" s="1" t="s">
        <v>507</v>
      </c>
      <c r="D47" s="1">
        <v>0</v>
      </c>
      <c r="E47" s="1">
        <v>0</v>
      </c>
    </row>
    <row r="48" spans="1:12" x14ac:dyDescent="0.2">
      <c r="B48" s="1">
        <v>8</v>
      </c>
      <c r="C48" s="1" t="s">
        <v>508</v>
      </c>
      <c r="D48" s="1">
        <v>0</v>
      </c>
      <c r="E48" s="1">
        <v>0</v>
      </c>
    </row>
    <row r="49" spans="2:5" x14ac:dyDescent="0.2">
      <c r="B49" s="1">
        <v>9</v>
      </c>
      <c r="C49" s="1" t="s">
        <v>215</v>
      </c>
      <c r="D49" s="1">
        <v>0</v>
      </c>
      <c r="E49" s="1">
        <v>0</v>
      </c>
    </row>
    <row r="50" spans="2:5" x14ac:dyDescent="0.2">
      <c r="B50" s="1">
        <v>10</v>
      </c>
      <c r="C50" s="1" t="s">
        <v>509</v>
      </c>
      <c r="D50" s="1">
        <v>0</v>
      </c>
      <c r="E50" s="1">
        <v>0</v>
      </c>
    </row>
    <row r="51" spans="2:5" x14ac:dyDescent="0.2">
      <c r="B51" s="1">
        <v>11</v>
      </c>
      <c r="C51" s="1" t="s">
        <v>172</v>
      </c>
      <c r="D51" s="1">
        <v>0</v>
      </c>
      <c r="E51" s="1">
        <v>0</v>
      </c>
    </row>
    <row r="52" spans="2:5" x14ac:dyDescent="0.2">
      <c r="B52" s="1">
        <v>12</v>
      </c>
      <c r="C52" s="1" t="s">
        <v>241</v>
      </c>
      <c r="D52" s="1">
        <v>0</v>
      </c>
      <c r="E52" s="1">
        <v>0</v>
      </c>
    </row>
    <row r="53" spans="2:5" x14ac:dyDescent="0.2">
      <c r="B53" s="1">
        <v>13</v>
      </c>
      <c r="C53" s="1" t="s">
        <v>510</v>
      </c>
      <c r="D53" s="1">
        <v>0</v>
      </c>
      <c r="E53" s="1">
        <v>0</v>
      </c>
    </row>
    <row r="54" spans="2:5" x14ac:dyDescent="0.2">
      <c r="B54" s="1">
        <v>14</v>
      </c>
      <c r="C54" s="1" t="s">
        <v>225</v>
      </c>
      <c r="D54" s="1">
        <v>0</v>
      </c>
      <c r="E54" s="1">
        <v>0</v>
      </c>
    </row>
    <row r="55" spans="2:5" x14ac:dyDescent="0.2">
      <c r="B55" s="1">
        <v>15</v>
      </c>
      <c r="C55" s="1" t="s">
        <v>511</v>
      </c>
      <c r="D55" s="1">
        <v>0</v>
      </c>
      <c r="E55" s="1">
        <v>0</v>
      </c>
    </row>
    <row r="56" spans="2:5" x14ac:dyDescent="0.2">
      <c r="B56" s="1">
        <v>16</v>
      </c>
      <c r="C56" s="1" t="s">
        <v>202</v>
      </c>
      <c r="D56" s="1">
        <v>0</v>
      </c>
      <c r="E56" s="1">
        <v>0</v>
      </c>
    </row>
    <row r="57" spans="2:5" x14ac:dyDescent="0.2">
      <c r="B57" s="1">
        <v>17</v>
      </c>
      <c r="C57" s="1" t="s">
        <v>512</v>
      </c>
      <c r="D57" s="1">
        <v>0</v>
      </c>
      <c r="E57" s="1">
        <v>0</v>
      </c>
    </row>
    <row r="58" spans="2:5" x14ac:dyDescent="0.2">
      <c r="B58" s="1">
        <v>18</v>
      </c>
      <c r="C58" s="1" t="s">
        <v>513</v>
      </c>
      <c r="D58" s="1">
        <v>0</v>
      </c>
      <c r="E58" s="1">
        <v>0</v>
      </c>
    </row>
    <row r="59" spans="2:5" x14ac:dyDescent="0.2">
      <c r="B59" s="1">
        <v>19</v>
      </c>
      <c r="C59" s="1" t="s">
        <v>514</v>
      </c>
      <c r="D59" s="1">
        <v>0</v>
      </c>
      <c r="E59" s="1">
        <v>0</v>
      </c>
    </row>
    <row r="60" spans="2:5" x14ac:dyDescent="0.2">
      <c r="B60" s="1">
        <v>20</v>
      </c>
      <c r="C60" s="1" t="s">
        <v>233</v>
      </c>
      <c r="D60" s="1">
        <v>0</v>
      </c>
      <c r="E60" s="1">
        <v>0</v>
      </c>
    </row>
    <row r="61" spans="2:5" x14ac:dyDescent="0.2">
      <c r="B61" s="1">
        <v>21</v>
      </c>
      <c r="C61" s="1" t="s">
        <v>515</v>
      </c>
      <c r="D61" s="1">
        <v>0</v>
      </c>
      <c r="E61" s="1">
        <v>0</v>
      </c>
    </row>
    <row r="62" spans="2:5" x14ac:dyDescent="0.2">
      <c r="B62" s="1">
        <v>22</v>
      </c>
      <c r="C62" s="1" t="s">
        <v>272</v>
      </c>
      <c r="D62" s="1">
        <v>0</v>
      </c>
      <c r="E62" s="1">
        <v>0</v>
      </c>
    </row>
    <row r="63" spans="2:5" x14ac:dyDescent="0.2">
      <c r="B63" s="1">
        <v>23</v>
      </c>
      <c r="C63" s="1" t="s">
        <v>203</v>
      </c>
      <c r="D63" s="1">
        <v>0</v>
      </c>
      <c r="E63" s="1">
        <v>0</v>
      </c>
    </row>
    <row r="64" spans="2:5" x14ac:dyDescent="0.2">
      <c r="B64" s="1">
        <v>24</v>
      </c>
      <c r="C64" s="1" t="s">
        <v>516</v>
      </c>
      <c r="D64" s="1">
        <v>0</v>
      </c>
      <c r="E64" s="1">
        <v>0</v>
      </c>
    </row>
    <row r="65" spans="2:5" x14ac:dyDescent="0.2">
      <c r="B65" s="1">
        <v>25</v>
      </c>
      <c r="C65" s="1" t="s">
        <v>517</v>
      </c>
      <c r="D65" s="1">
        <v>0</v>
      </c>
      <c r="E65" s="1">
        <v>0</v>
      </c>
    </row>
    <row r="66" spans="2:5" x14ac:dyDescent="0.2">
      <c r="B66" s="1">
        <v>26</v>
      </c>
      <c r="C66" s="1" t="s">
        <v>518</v>
      </c>
      <c r="D66" s="1">
        <v>0</v>
      </c>
      <c r="E66" s="1">
        <v>0</v>
      </c>
    </row>
    <row r="67" spans="2:5" x14ac:dyDescent="0.2">
      <c r="B67" s="1">
        <v>27</v>
      </c>
      <c r="C67" s="1" t="s">
        <v>519</v>
      </c>
      <c r="D67" s="1">
        <v>0</v>
      </c>
      <c r="E67" s="1">
        <v>0</v>
      </c>
    </row>
    <row r="68" spans="2:5" x14ac:dyDescent="0.2">
      <c r="B68" s="1">
        <v>28</v>
      </c>
      <c r="C68" s="1" t="s">
        <v>520</v>
      </c>
      <c r="D68" s="1">
        <v>0</v>
      </c>
      <c r="E68" s="1">
        <v>0</v>
      </c>
    </row>
    <row r="69" spans="2:5" x14ac:dyDescent="0.2">
      <c r="B69" s="1">
        <v>29</v>
      </c>
      <c r="C69" s="1" t="s">
        <v>521</v>
      </c>
      <c r="D69" s="1">
        <v>0</v>
      </c>
      <c r="E69" s="1">
        <v>0</v>
      </c>
    </row>
    <row r="70" spans="2:5" x14ac:dyDescent="0.2">
      <c r="B70" s="1">
        <v>30</v>
      </c>
      <c r="C70" s="1" t="s">
        <v>522</v>
      </c>
      <c r="D70" s="1">
        <v>0</v>
      </c>
      <c r="E70" s="1">
        <v>0</v>
      </c>
    </row>
    <row r="71" spans="2:5" x14ac:dyDescent="0.2">
      <c r="B71" s="1">
        <v>31</v>
      </c>
      <c r="C71" s="1" t="s">
        <v>523</v>
      </c>
      <c r="D71" s="1">
        <v>0</v>
      </c>
      <c r="E71" s="1">
        <v>0</v>
      </c>
    </row>
    <row r="72" spans="2:5" x14ac:dyDescent="0.2">
      <c r="B72" s="1">
        <v>32</v>
      </c>
      <c r="C72" s="1" t="s">
        <v>524</v>
      </c>
      <c r="D72" s="1">
        <v>0</v>
      </c>
      <c r="E72" s="1">
        <v>0</v>
      </c>
    </row>
    <row r="73" spans="2:5" x14ac:dyDescent="0.2">
      <c r="B73" s="1">
        <v>33</v>
      </c>
      <c r="C73" s="1" t="s">
        <v>525</v>
      </c>
      <c r="D73" s="1">
        <v>0</v>
      </c>
      <c r="E73" s="1">
        <v>0</v>
      </c>
    </row>
    <row r="74" spans="2:5" x14ac:dyDescent="0.2">
      <c r="B74" s="1">
        <v>34</v>
      </c>
      <c r="C74" s="1" t="s">
        <v>526</v>
      </c>
      <c r="D74" s="1">
        <v>0</v>
      </c>
      <c r="E74" s="1">
        <v>0</v>
      </c>
    </row>
    <row r="75" spans="2:5" x14ac:dyDescent="0.2">
      <c r="B75" s="1">
        <v>35</v>
      </c>
      <c r="C75" s="1" t="s">
        <v>527</v>
      </c>
      <c r="D75" s="1">
        <v>0</v>
      </c>
      <c r="E75" s="1">
        <v>0</v>
      </c>
    </row>
    <row r="76" spans="2:5" x14ac:dyDescent="0.2">
      <c r="B76" s="1">
        <v>36</v>
      </c>
      <c r="C76" s="1" t="s">
        <v>528</v>
      </c>
      <c r="D76" s="1">
        <v>0</v>
      </c>
      <c r="E76" s="1">
        <v>0</v>
      </c>
    </row>
    <row r="77" spans="2:5" x14ac:dyDescent="0.2">
      <c r="B77" s="1">
        <v>37</v>
      </c>
      <c r="C77" s="1" t="s">
        <v>529</v>
      </c>
      <c r="D77" s="1">
        <v>0</v>
      </c>
      <c r="E77" s="1">
        <v>0</v>
      </c>
    </row>
    <row r="78" spans="2:5" x14ac:dyDescent="0.2">
      <c r="B78" s="1">
        <v>38</v>
      </c>
      <c r="C78" s="1" t="s">
        <v>530</v>
      </c>
      <c r="D78" s="1">
        <v>0</v>
      </c>
      <c r="E78" s="1">
        <v>0</v>
      </c>
    </row>
    <row r="79" spans="2:5" x14ac:dyDescent="0.2">
      <c r="B79" s="1">
        <v>39</v>
      </c>
      <c r="C79" s="1" t="s">
        <v>531</v>
      </c>
      <c r="D79" s="1">
        <v>0</v>
      </c>
      <c r="E79" s="1">
        <v>0</v>
      </c>
    </row>
    <row r="80" spans="2:5" x14ac:dyDescent="0.2">
      <c r="B80" s="1">
        <v>40</v>
      </c>
      <c r="C80" s="1" t="s">
        <v>179</v>
      </c>
      <c r="D80" s="1">
        <v>0</v>
      </c>
      <c r="E80" s="1">
        <v>0</v>
      </c>
    </row>
    <row r="81" spans="2:5" x14ac:dyDescent="0.2">
      <c r="B81" s="1">
        <v>41</v>
      </c>
      <c r="C81" s="1" t="s">
        <v>532</v>
      </c>
      <c r="D81" s="1">
        <v>0</v>
      </c>
      <c r="E81" s="1">
        <v>0</v>
      </c>
    </row>
    <row r="82" spans="2:5" x14ac:dyDescent="0.2">
      <c r="B82" s="1">
        <v>42</v>
      </c>
      <c r="C82" s="1" t="s">
        <v>140</v>
      </c>
      <c r="D82" s="1">
        <v>0</v>
      </c>
      <c r="E82" s="1">
        <v>0</v>
      </c>
    </row>
    <row r="83" spans="2:5" x14ac:dyDescent="0.2">
      <c r="B83" s="1">
        <v>43</v>
      </c>
      <c r="C83" s="1" t="s">
        <v>352</v>
      </c>
      <c r="D83" s="1">
        <v>0</v>
      </c>
      <c r="E83" s="1">
        <v>0</v>
      </c>
    </row>
    <row r="84" spans="2:5" x14ac:dyDescent="0.2">
      <c r="B84" s="1">
        <v>44</v>
      </c>
      <c r="C84" s="1" t="s">
        <v>213</v>
      </c>
      <c r="D84" s="1">
        <v>0</v>
      </c>
      <c r="E84" s="1">
        <v>0</v>
      </c>
    </row>
    <row r="85" spans="2:5" x14ac:dyDescent="0.2">
      <c r="B85" s="1">
        <v>45</v>
      </c>
      <c r="C85" s="1" t="s">
        <v>286</v>
      </c>
      <c r="D85" s="1">
        <v>0</v>
      </c>
      <c r="E85" s="1">
        <v>0</v>
      </c>
    </row>
    <row r="86" spans="2:5" x14ac:dyDescent="0.2">
      <c r="B86" s="1">
        <v>46</v>
      </c>
      <c r="C86" s="1" t="s">
        <v>287</v>
      </c>
      <c r="D86" s="1">
        <v>0</v>
      </c>
      <c r="E86" s="1">
        <v>0</v>
      </c>
    </row>
    <row r="87" spans="2:5" x14ac:dyDescent="0.2">
      <c r="B87" s="1">
        <v>47</v>
      </c>
      <c r="C87" s="1" t="s">
        <v>533</v>
      </c>
      <c r="D87" s="1">
        <v>0</v>
      </c>
      <c r="E87" s="1">
        <v>0</v>
      </c>
    </row>
    <row r="88" spans="2:5" x14ac:dyDescent="0.2">
      <c r="B88" s="1">
        <v>48</v>
      </c>
      <c r="C88" s="1" t="s">
        <v>258</v>
      </c>
      <c r="D88" s="1">
        <v>0</v>
      </c>
      <c r="E88" s="1">
        <v>0</v>
      </c>
    </row>
    <row r="89" spans="2:5" x14ac:dyDescent="0.2">
      <c r="B89" s="1">
        <v>49</v>
      </c>
      <c r="C89" s="1" t="s">
        <v>204</v>
      </c>
      <c r="D89" s="1">
        <v>0</v>
      </c>
      <c r="E89" s="1">
        <v>0</v>
      </c>
    </row>
    <row r="90" spans="2:5" x14ac:dyDescent="0.2">
      <c r="B90" s="1">
        <v>50</v>
      </c>
      <c r="C90" s="1" t="s">
        <v>534</v>
      </c>
      <c r="D90" s="1">
        <v>0</v>
      </c>
      <c r="E90" s="1">
        <v>0</v>
      </c>
    </row>
    <row r="91" spans="2:5" x14ac:dyDescent="0.2">
      <c r="B91" s="1">
        <v>51</v>
      </c>
      <c r="C91" s="1" t="s">
        <v>535</v>
      </c>
      <c r="D91" s="1">
        <v>0</v>
      </c>
      <c r="E91" s="1">
        <v>0</v>
      </c>
    </row>
    <row r="92" spans="2:5" x14ac:dyDescent="0.2">
      <c r="B92" s="1">
        <v>52</v>
      </c>
      <c r="C92" s="1" t="s">
        <v>536</v>
      </c>
      <c r="D92" s="1">
        <v>0</v>
      </c>
      <c r="E92" s="1">
        <v>0</v>
      </c>
    </row>
    <row r="93" spans="2:5" x14ac:dyDescent="0.2">
      <c r="B93" s="1">
        <v>53</v>
      </c>
      <c r="C93" s="1" t="s">
        <v>537</v>
      </c>
      <c r="D93" s="1">
        <v>0</v>
      </c>
      <c r="E93" s="1">
        <v>0</v>
      </c>
    </row>
    <row r="94" spans="2:5" x14ac:dyDescent="0.2">
      <c r="B94" s="1">
        <v>54</v>
      </c>
      <c r="C94" s="1" t="s">
        <v>538</v>
      </c>
      <c r="D94" s="1">
        <v>0</v>
      </c>
      <c r="E94" s="1">
        <v>0</v>
      </c>
    </row>
    <row r="95" spans="2:5" x14ac:dyDescent="0.2">
      <c r="B95" s="1">
        <v>55</v>
      </c>
      <c r="C95" s="1" t="s">
        <v>539</v>
      </c>
      <c r="D95" s="1">
        <v>0</v>
      </c>
      <c r="E95" s="1">
        <v>0</v>
      </c>
    </row>
    <row r="96" spans="2:5" x14ac:dyDescent="0.2">
      <c r="B96" s="1">
        <v>56</v>
      </c>
      <c r="C96" s="1" t="s">
        <v>540</v>
      </c>
      <c r="D96" s="1">
        <v>0</v>
      </c>
      <c r="E96" s="1">
        <v>0</v>
      </c>
    </row>
    <row r="97" spans="2:5" x14ac:dyDescent="0.2">
      <c r="B97" s="1">
        <v>57</v>
      </c>
      <c r="C97" s="1" t="s">
        <v>541</v>
      </c>
      <c r="D97" s="1">
        <v>0</v>
      </c>
      <c r="E97" s="1">
        <v>0</v>
      </c>
    </row>
    <row r="98" spans="2:5" x14ac:dyDescent="0.2">
      <c r="B98" s="1">
        <v>58</v>
      </c>
      <c r="C98" s="1" t="s">
        <v>542</v>
      </c>
      <c r="D98" s="1">
        <v>0</v>
      </c>
      <c r="E98" s="1">
        <v>0</v>
      </c>
    </row>
    <row r="99" spans="2:5" x14ac:dyDescent="0.2">
      <c r="B99" s="1">
        <v>59</v>
      </c>
      <c r="C99" s="1" t="s">
        <v>543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544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545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546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547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135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548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139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549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550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551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155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227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552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33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553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554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182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555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208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289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556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557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558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559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560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561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562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563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564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565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566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158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567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568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569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570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571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234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572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573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574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575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576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577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578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579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580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581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218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205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582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583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584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585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586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587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588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589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590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591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592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593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594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595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596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597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163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598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599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600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601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602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603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604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180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196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605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606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607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608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609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610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611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612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613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614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197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271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615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178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616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617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618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619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144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620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621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622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623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624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625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626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627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628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629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630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631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632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633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174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634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635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636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195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637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638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639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640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641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224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642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643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644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645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187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137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646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647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648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173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47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649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650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651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652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185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653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654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655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656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291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657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658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659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660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661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209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156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662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663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664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665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96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666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667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668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177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669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670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671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672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673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674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675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206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676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677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678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679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680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681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682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683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684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685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686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687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688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142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689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690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691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146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692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693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222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694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695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696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697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698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699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700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701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702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238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160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703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704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705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706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707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708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709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710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711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712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713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714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193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157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715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716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717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718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719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720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721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216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722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723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724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725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151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212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46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726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231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727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728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729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198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730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145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731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732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733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734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735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285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736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737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738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739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740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741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742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743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744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745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746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747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748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171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167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749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750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751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752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753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240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754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755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756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228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134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757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758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759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760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761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762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763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764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765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766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767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768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769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770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143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771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772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148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248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773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774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775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776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777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778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779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281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780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781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782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783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784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785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786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787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788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789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790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791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792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793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794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795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247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796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207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797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276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181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798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199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799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800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801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802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803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804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805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806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807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808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809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136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810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811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194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812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165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813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814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815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235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816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817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818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819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245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820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168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821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822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823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267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824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825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826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827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828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829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830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831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832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833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834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835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836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837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838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153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161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138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839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840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841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842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843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844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845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239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192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250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846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154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847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848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170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849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850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851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852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853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854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855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856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857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858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859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860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861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862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87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863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864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865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866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867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868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869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870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871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164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872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873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874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875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1214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152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876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259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877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878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879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880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881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882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883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884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284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885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886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887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888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889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890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891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274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186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230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892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893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894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895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896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897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898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219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899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900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901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902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903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226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904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905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906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907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908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149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909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910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911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912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913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914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251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915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217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916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917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184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190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918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919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159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210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920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921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922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175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260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249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923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924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925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147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926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936F-FB95-4566-9279-128979C729EE}">
  <sheetPr codeName="ShtHuobi"/>
  <dimension ref="A1:K46"/>
  <sheetViews>
    <sheetView workbookViewId="0">
      <selection activeCell="B13" sqref="B13"/>
    </sheetView>
  </sheetViews>
  <sheetFormatPr defaultRowHeight="14.4" x14ac:dyDescent="0.3"/>
  <cols>
    <col min="1" max="1" width="4.33203125" customWidth="1"/>
    <col min="2" max="2" width="17.88671875" customWidth="1"/>
    <col min="3" max="3" width="17.33203125" customWidth="1"/>
    <col min="4" max="4" width="7.33203125" bestFit="1" customWidth="1"/>
    <col min="5" max="5" width="22.6640625" bestFit="1" customWidth="1"/>
    <col min="6" max="6" width="7.5546875" bestFit="1" customWidth="1"/>
    <col min="7" max="7" width="9" bestFit="1" customWidth="1"/>
    <col min="8" max="8" width="14.33203125" customWidth="1"/>
    <col min="11" max="11" width="14.44140625" customWidth="1"/>
  </cols>
  <sheetData>
    <row r="1" spans="1:6" s="1" customFormat="1" ht="11.4" x14ac:dyDescent="0.2"/>
    <row r="2" spans="1:6" s="1" customFormat="1" ht="17.399999999999999" x14ac:dyDescent="0.3">
      <c r="B2" s="18" t="s">
        <v>1242</v>
      </c>
    </row>
    <row r="3" spans="1:6" s="1" customFormat="1" ht="11.4" x14ac:dyDescent="0.2">
      <c r="B3" s="16" t="s">
        <v>1243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1244</v>
      </c>
      <c r="C6" s="19" t="s">
        <v>1238</v>
      </c>
    </row>
    <row r="7" spans="1:6" s="1" customFormat="1" ht="11.4" x14ac:dyDescent="0.2">
      <c r="B7" s="4" t="s">
        <v>1245</v>
      </c>
      <c r="C7" s="19" t="s">
        <v>1238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1250</v>
      </c>
    </row>
    <row r="14" spans="1:6" s="1" customFormat="1" ht="11.4" x14ac:dyDescent="0.2"/>
    <row r="15" spans="1:6" x14ac:dyDescent="0.3">
      <c r="A15" s="4" t="s">
        <v>130</v>
      </c>
    </row>
    <row r="16" spans="1:6" ht="15" thickBot="1" x14ac:dyDescent="0.35">
      <c r="B16" s="2" t="s">
        <v>22</v>
      </c>
      <c r="C16" s="3"/>
      <c r="D16" s="3"/>
      <c r="E16" s="3"/>
      <c r="F16" s="3"/>
    </row>
    <row r="17" spans="2:6" x14ac:dyDescent="0.3">
      <c r="B17" s="47" t="s">
        <v>13</v>
      </c>
      <c r="C17" s="48" t="s">
        <v>14</v>
      </c>
      <c r="D17" s="48" t="s">
        <v>15</v>
      </c>
      <c r="E17" s="48" t="s">
        <v>16</v>
      </c>
      <c r="F17" s="49" t="s">
        <v>17</v>
      </c>
    </row>
    <row r="18" spans="2:6" x14ac:dyDescent="0.3">
      <c r="B18" s="50">
        <v>1</v>
      </c>
      <c r="C18" s="51" t="s">
        <v>18</v>
      </c>
      <c r="D18" s="51" t="s">
        <v>478</v>
      </c>
      <c r="E18" s="51" t="s">
        <v>479</v>
      </c>
      <c r="F18" s="52" t="s">
        <v>21</v>
      </c>
    </row>
    <row r="19" spans="2:6" x14ac:dyDescent="0.3">
      <c r="B19" s="50">
        <v>1</v>
      </c>
      <c r="C19" s="51" t="s">
        <v>18</v>
      </c>
      <c r="D19" s="51" t="s">
        <v>1246</v>
      </c>
      <c r="E19" s="51" t="s">
        <v>1247</v>
      </c>
      <c r="F19" s="52" t="s">
        <v>21</v>
      </c>
    </row>
    <row r="20" spans="2:6" x14ac:dyDescent="0.3">
      <c r="B20" s="50">
        <v>1</v>
      </c>
      <c r="C20" s="51" t="s">
        <v>18</v>
      </c>
      <c r="D20" s="51" t="s">
        <v>1248</v>
      </c>
      <c r="E20" s="51">
        <v>1582632630437</v>
      </c>
      <c r="F20" s="52" t="s">
        <v>21</v>
      </c>
    </row>
    <row r="21" spans="2:6" x14ac:dyDescent="0.3">
      <c r="B21" s="50">
        <v>1</v>
      </c>
      <c r="C21" s="51" t="s">
        <v>18</v>
      </c>
      <c r="D21" s="51" t="s">
        <v>81</v>
      </c>
      <c r="E21" s="51">
        <v>2</v>
      </c>
      <c r="F21" s="52" t="s">
        <v>20</v>
      </c>
    </row>
    <row r="22" spans="2:6" x14ac:dyDescent="0.3">
      <c r="B22" s="50">
        <v>2</v>
      </c>
      <c r="C22" s="51" t="s">
        <v>81</v>
      </c>
      <c r="D22" s="51">
        <v>1</v>
      </c>
      <c r="E22" s="51">
        <v>8</v>
      </c>
      <c r="F22" s="52" t="s">
        <v>20</v>
      </c>
    </row>
    <row r="23" spans="2:6" x14ac:dyDescent="0.3">
      <c r="B23" s="50">
        <v>3</v>
      </c>
      <c r="C23" s="51">
        <v>1</v>
      </c>
      <c r="D23" s="51" t="s">
        <v>11</v>
      </c>
      <c r="E23" s="51">
        <v>668241.70831907203</v>
      </c>
      <c r="F23" s="52" t="s">
        <v>21</v>
      </c>
    </row>
    <row r="24" spans="2:6" x14ac:dyDescent="0.3">
      <c r="B24" s="50">
        <v>3</v>
      </c>
      <c r="C24" s="51">
        <v>1</v>
      </c>
      <c r="D24" s="51" t="s">
        <v>310</v>
      </c>
      <c r="E24" s="51">
        <v>267.58999999999997</v>
      </c>
      <c r="F24" s="52" t="s">
        <v>21</v>
      </c>
    </row>
    <row r="25" spans="2:6" x14ac:dyDescent="0.3">
      <c r="B25" s="50">
        <v>3</v>
      </c>
      <c r="C25" s="51">
        <v>1</v>
      </c>
      <c r="D25" s="51" t="s">
        <v>89</v>
      </c>
      <c r="E25" s="51">
        <v>263.10000000000002</v>
      </c>
      <c r="F25" s="52" t="s">
        <v>21</v>
      </c>
    </row>
    <row r="26" spans="2:6" x14ac:dyDescent="0.3">
      <c r="B26" s="50">
        <v>3</v>
      </c>
      <c r="C26" s="51">
        <v>1</v>
      </c>
      <c r="D26" s="51" t="s">
        <v>24</v>
      </c>
      <c r="E26" s="51">
        <v>270.68</v>
      </c>
      <c r="F26" s="52" t="s">
        <v>21</v>
      </c>
    </row>
    <row r="27" spans="2:6" x14ac:dyDescent="0.3">
      <c r="B27" s="50">
        <v>3</v>
      </c>
      <c r="C27" s="51">
        <v>1</v>
      </c>
      <c r="D27" s="51" t="s">
        <v>416</v>
      </c>
      <c r="E27" s="51">
        <v>1582560000</v>
      </c>
      <c r="F27" s="52" t="s">
        <v>21</v>
      </c>
    </row>
    <row r="28" spans="2:6" x14ac:dyDescent="0.3">
      <c r="B28" s="50">
        <v>3</v>
      </c>
      <c r="C28" s="51">
        <v>1</v>
      </c>
      <c r="D28" s="51" t="s">
        <v>1249</v>
      </c>
      <c r="E28" s="51">
        <v>218854</v>
      </c>
      <c r="F28" s="52" t="s">
        <v>21</v>
      </c>
    </row>
    <row r="29" spans="2:6" x14ac:dyDescent="0.3">
      <c r="B29" s="50">
        <v>3</v>
      </c>
      <c r="C29" s="51">
        <v>1</v>
      </c>
      <c r="D29" s="51" t="s">
        <v>25</v>
      </c>
      <c r="E29" s="51">
        <v>255.23</v>
      </c>
      <c r="F29" s="52" t="s">
        <v>21</v>
      </c>
    </row>
    <row r="30" spans="2:6" x14ac:dyDescent="0.3">
      <c r="B30" s="50">
        <v>3</v>
      </c>
      <c r="C30" s="51">
        <v>1</v>
      </c>
      <c r="D30" s="51" t="s">
        <v>26</v>
      </c>
      <c r="E30" s="51">
        <v>174629722.62127799</v>
      </c>
      <c r="F30" s="52" t="s">
        <v>21</v>
      </c>
    </row>
    <row r="31" spans="2:6" x14ac:dyDescent="0.3">
      <c r="B31" s="50">
        <v>2</v>
      </c>
      <c r="C31" s="51">
        <v>1</v>
      </c>
      <c r="D31" s="51">
        <v>2</v>
      </c>
      <c r="E31" s="51">
        <v>8</v>
      </c>
      <c r="F31" s="52" t="s">
        <v>20</v>
      </c>
    </row>
    <row r="32" spans="2:6" x14ac:dyDescent="0.3">
      <c r="B32" s="50">
        <v>3</v>
      </c>
      <c r="C32" s="51">
        <v>2</v>
      </c>
      <c r="D32" s="51" t="s">
        <v>11</v>
      </c>
      <c r="E32" s="51">
        <v>692939.11265911104</v>
      </c>
      <c r="F32" s="52" t="s">
        <v>21</v>
      </c>
    </row>
    <row r="33" spans="1:11" x14ac:dyDescent="0.3">
      <c r="B33" s="50">
        <v>3</v>
      </c>
      <c r="C33" s="51">
        <v>2</v>
      </c>
      <c r="D33" s="51" t="s">
        <v>310</v>
      </c>
      <c r="E33" s="51">
        <v>270.05</v>
      </c>
      <c r="F33" s="52" t="s">
        <v>21</v>
      </c>
    </row>
    <row r="34" spans="1:11" x14ac:dyDescent="0.3">
      <c r="B34" s="50">
        <v>3</v>
      </c>
      <c r="C34" s="51">
        <v>2</v>
      </c>
      <c r="D34" s="51" t="s">
        <v>89</v>
      </c>
      <c r="E34" s="51">
        <v>267.61</v>
      </c>
      <c r="F34" s="52" t="s">
        <v>21</v>
      </c>
    </row>
    <row r="35" spans="1:11" x14ac:dyDescent="0.3">
      <c r="B35" s="50">
        <v>3</v>
      </c>
      <c r="C35" s="51">
        <v>2</v>
      </c>
      <c r="D35" s="51" t="s">
        <v>24</v>
      </c>
      <c r="E35" s="51">
        <v>277</v>
      </c>
      <c r="F35" s="52" t="s">
        <v>21</v>
      </c>
    </row>
    <row r="36" spans="1:11" x14ac:dyDescent="0.3">
      <c r="B36" s="50">
        <v>3</v>
      </c>
      <c r="C36" s="51">
        <v>2</v>
      </c>
      <c r="D36" s="51" t="s">
        <v>416</v>
      </c>
      <c r="E36" s="51">
        <v>1582473600</v>
      </c>
      <c r="F36" s="52" t="s">
        <v>21</v>
      </c>
    </row>
    <row r="37" spans="1:11" x14ac:dyDescent="0.3">
      <c r="B37" s="50">
        <v>3</v>
      </c>
      <c r="C37" s="51">
        <v>2</v>
      </c>
      <c r="D37" s="51" t="s">
        <v>1249</v>
      </c>
      <c r="E37" s="51">
        <v>194307</v>
      </c>
      <c r="F37" s="52" t="s">
        <v>21</v>
      </c>
    </row>
    <row r="38" spans="1:11" x14ac:dyDescent="0.3">
      <c r="B38" s="50">
        <v>3</v>
      </c>
      <c r="C38" s="51">
        <v>2</v>
      </c>
      <c r="D38" s="51" t="s">
        <v>25</v>
      </c>
      <c r="E38" s="51">
        <v>263.79000000000002</v>
      </c>
      <c r="F38" s="52" t="s">
        <v>21</v>
      </c>
    </row>
    <row r="39" spans="1:11" ht="15" thickBot="1" x14ac:dyDescent="0.35">
      <c r="B39" s="53">
        <v>3</v>
      </c>
      <c r="C39" s="54">
        <v>2</v>
      </c>
      <c r="D39" s="54" t="s">
        <v>26</v>
      </c>
      <c r="E39" s="54">
        <v>186867478.97363701</v>
      </c>
      <c r="F39" s="55" t="s">
        <v>21</v>
      </c>
    </row>
    <row r="42" spans="1:11" s="1" customFormat="1" ht="11.4" x14ac:dyDescent="0.2">
      <c r="A42" s="4" t="s">
        <v>131</v>
      </c>
    </row>
    <row r="43" spans="1:11" s="1" customFormat="1" ht="12" thickBot="1" x14ac:dyDescent="0.25">
      <c r="B43" s="2" t="s">
        <v>23</v>
      </c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3">
      <c r="B44" s="47" t="s">
        <v>1</v>
      </c>
      <c r="C44" s="48" t="s">
        <v>6</v>
      </c>
      <c r="D44" s="48" t="s">
        <v>11</v>
      </c>
      <c r="E44" s="48" t="s">
        <v>310</v>
      </c>
      <c r="F44" s="48" t="s">
        <v>89</v>
      </c>
      <c r="G44" s="48" t="s">
        <v>24</v>
      </c>
      <c r="H44" s="48" t="s">
        <v>416</v>
      </c>
      <c r="I44" s="48" t="s">
        <v>1249</v>
      </c>
      <c r="J44" s="48" t="s">
        <v>25</v>
      </c>
      <c r="K44" s="49" t="s">
        <v>26</v>
      </c>
    </row>
    <row r="45" spans="1:11" x14ac:dyDescent="0.3">
      <c r="B45" s="50" t="s">
        <v>81</v>
      </c>
      <c r="C45" s="51">
        <v>1</v>
      </c>
      <c r="D45" s="51">
        <v>668241.70831907203</v>
      </c>
      <c r="E45" s="56">
        <v>267.58999999999997</v>
      </c>
      <c r="F45" s="56">
        <v>263.10000000000002</v>
      </c>
      <c r="G45" s="56">
        <v>270.68</v>
      </c>
      <c r="H45" s="51">
        <v>1582560000</v>
      </c>
      <c r="I45" s="51">
        <v>218854</v>
      </c>
      <c r="J45" s="56">
        <v>255.23</v>
      </c>
      <c r="K45" s="58">
        <v>174629722.62127799</v>
      </c>
    </row>
    <row r="46" spans="1:11" ht="15" thickBot="1" x14ac:dyDescent="0.35">
      <c r="B46" s="53" t="s">
        <v>81</v>
      </c>
      <c r="C46" s="54">
        <v>2</v>
      </c>
      <c r="D46" s="54">
        <v>692939.11265911104</v>
      </c>
      <c r="E46" s="57">
        <v>270.05</v>
      </c>
      <c r="F46" s="57">
        <v>267.61</v>
      </c>
      <c r="G46" s="57">
        <v>277</v>
      </c>
      <c r="H46" s="54">
        <v>1582473600</v>
      </c>
      <c r="I46" s="54">
        <v>194307</v>
      </c>
      <c r="J46" s="57">
        <v>263.79000000000002</v>
      </c>
      <c r="K46" s="59">
        <v>186867478.97363701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ColWidth="8.88671875"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664062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3320312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932</v>
      </c>
    </row>
    <row r="3" spans="1:6" x14ac:dyDescent="0.2">
      <c r="B3" s="16" t="s">
        <v>933</v>
      </c>
    </row>
    <row r="4" spans="1:6" x14ac:dyDescent="0.2">
      <c r="B4" s="1" t="s">
        <v>129</v>
      </c>
    </row>
    <row r="6" spans="1:6" x14ac:dyDescent="0.2">
      <c r="B6" s="4" t="s">
        <v>0</v>
      </c>
      <c r="C6" s="19" t="s">
        <v>1213</v>
      </c>
    </row>
    <row r="7" spans="1:6" x14ac:dyDescent="0.2">
      <c r="B7" s="4" t="s">
        <v>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930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931</v>
      </c>
      <c r="F21" s="23" t="s">
        <v>21</v>
      </c>
    </row>
    <row r="24" spans="1:6" x14ac:dyDescent="0.2">
      <c r="A24" s="4" t="s">
        <v>131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6" t="s">
        <v>1</v>
      </c>
      <c r="C26" s="37" t="s">
        <v>2</v>
      </c>
      <c r="D26" s="38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931</v>
      </c>
    </row>
    <row r="29" spans="1:6" x14ac:dyDescent="0.2">
      <c r="A29" s="4" t="s">
        <v>132</v>
      </c>
    </row>
    <row r="31" spans="1:6" x14ac:dyDescent="0.2">
      <c r="B31" s="2" t="s">
        <v>298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85</v>
      </c>
      <c r="C33" s="42">
        <v>8.7880000000000003</v>
      </c>
    </row>
    <row r="34" spans="2:3" x14ac:dyDescent="0.2">
      <c r="B34" s="1" t="s">
        <v>86</v>
      </c>
      <c r="C34" s="42">
        <v>6.6150000000000002E-6</v>
      </c>
    </row>
    <row r="35" spans="2:3" x14ac:dyDescent="0.2">
      <c r="B35" s="1" t="s">
        <v>927</v>
      </c>
      <c r="C35" s="42">
        <v>4.0699300000000002E-3</v>
      </c>
    </row>
    <row r="36" spans="2:3" x14ac:dyDescent="0.2">
      <c r="B36" s="1" t="s">
        <v>928</v>
      </c>
      <c r="C36" s="42">
        <v>3.5999999999999999E-7</v>
      </c>
    </row>
    <row r="37" spans="2:3" x14ac:dyDescent="0.2">
      <c r="B37" s="1" t="s">
        <v>929</v>
      </c>
      <c r="C37" s="42">
        <v>2.92E-6</v>
      </c>
    </row>
    <row r="38" spans="2:3" x14ac:dyDescent="0.2">
      <c r="B38" s="1" t="s">
        <v>137</v>
      </c>
      <c r="C38" s="42">
        <v>2</v>
      </c>
    </row>
    <row r="39" spans="2:3" x14ac:dyDescent="0.2">
      <c r="B39" s="1" t="s">
        <v>352</v>
      </c>
      <c r="C39" s="42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934</v>
      </c>
    </row>
    <row r="3" spans="1:6" x14ac:dyDescent="0.2">
      <c r="B3" s="16" t="s">
        <v>935</v>
      </c>
    </row>
    <row r="4" spans="1:6" x14ac:dyDescent="0.2">
      <c r="B4" s="1" t="s">
        <v>129</v>
      </c>
    </row>
    <row r="6" spans="1:6" x14ac:dyDescent="0.2">
      <c r="B6" s="4" t="s">
        <v>57</v>
      </c>
      <c r="C6" s="19" t="s">
        <v>1213</v>
      </c>
    </row>
    <row r="7" spans="1:6" x14ac:dyDescent="0.2">
      <c r="B7" s="4" t="s">
        <v>58</v>
      </c>
      <c r="C7" s="19" t="s">
        <v>1213</v>
      </c>
    </row>
    <row r="8" spans="1:6" x14ac:dyDescent="0.2">
      <c r="B8" s="4" t="s">
        <v>97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963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80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81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81</v>
      </c>
      <c r="D20" s="1" t="s">
        <v>83</v>
      </c>
      <c r="E20" s="1" t="s">
        <v>936</v>
      </c>
      <c r="F20" s="32" t="s">
        <v>21</v>
      </c>
    </row>
    <row r="21" spans="2:6" x14ac:dyDescent="0.2">
      <c r="B21" s="31">
        <v>2</v>
      </c>
      <c r="C21" s="1" t="s">
        <v>81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81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81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81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81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81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81</v>
      </c>
      <c r="D27" s="1" t="s">
        <v>98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81</v>
      </c>
      <c r="D28" s="1" t="s">
        <v>8</v>
      </c>
      <c r="E28" s="44">
        <v>1554717756505</v>
      </c>
      <c r="F28" s="32" t="s">
        <v>21</v>
      </c>
    </row>
    <row r="29" spans="2:6" x14ac:dyDescent="0.2">
      <c r="B29" s="31">
        <v>2</v>
      </c>
      <c r="C29" s="1" t="s">
        <v>81</v>
      </c>
      <c r="D29" s="1" t="s">
        <v>84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81</v>
      </c>
      <c r="D30" s="21" t="s">
        <v>937</v>
      </c>
      <c r="E30" s="21">
        <v>222.97566095675299</v>
      </c>
      <c r="F30" s="23" t="s">
        <v>21</v>
      </c>
    </row>
    <row r="33" spans="1:13" x14ac:dyDescent="0.2">
      <c r="A33" s="4" t="s">
        <v>131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83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98</v>
      </c>
      <c r="K35" s="29" t="s">
        <v>8</v>
      </c>
      <c r="L35" s="29" t="s">
        <v>84</v>
      </c>
      <c r="M35" s="26" t="s">
        <v>937</v>
      </c>
    </row>
    <row r="36" spans="1:13" ht="12" thickBot="1" x14ac:dyDescent="0.25">
      <c r="B36" s="20" t="s">
        <v>81</v>
      </c>
      <c r="C36" s="21" t="s">
        <v>936</v>
      </c>
      <c r="D36" s="43">
        <v>2.8714000000000002E-4</v>
      </c>
      <c r="E36" s="43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132</v>
      </c>
    </row>
    <row r="42" spans="1:13" x14ac:dyDescent="0.2">
      <c r="B42" s="2" t="s">
        <v>298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305</v>
      </c>
      <c r="F43" s="1" t="s">
        <v>938</v>
      </c>
      <c r="G43" s="1" t="s">
        <v>304</v>
      </c>
      <c r="H43" s="1" t="s">
        <v>416</v>
      </c>
      <c r="I43" s="1" t="s">
        <v>9</v>
      </c>
    </row>
    <row r="44" spans="1:13" x14ac:dyDescent="0.2">
      <c r="B44" s="1" t="s">
        <v>81</v>
      </c>
      <c r="C44" s="1">
        <v>1</v>
      </c>
      <c r="D44" s="1">
        <v>2</v>
      </c>
      <c r="E44" s="1">
        <v>2</v>
      </c>
      <c r="F44" s="1">
        <v>0</v>
      </c>
      <c r="G44" s="1" t="s">
        <v>82</v>
      </c>
      <c r="H44" s="1" t="s">
        <v>964</v>
      </c>
      <c r="I44" s="1" t="s">
        <v>56</v>
      </c>
    </row>
    <row r="45" spans="1:13" x14ac:dyDescent="0.2">
      <c r="B45" s="1" t="s">
        <v>81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941</v>
      </c>
      <c r="H45" s="1" t="s">
        <v>946</v>
      </c>
      <c r="I45" s="1" t="s">
        <v>56</v>
      </c>
    </row>
    <row r="46" spans="1:13" x14ac:dyDescent="0.2">
      <c r="B46" s="1" t="s">
        <v>81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204</v>
      </c>
      <c r="H46" s="1" t="s">
        <v>947</v>
      </c>
      <c r="I46" s="1" t="s">
        <v>56</v>
      </c>
    </row>
    <row r="47" spans="1:13" x14ac:dyDescent="0.2">
      <c r="B47" s="1" t="s">
        <v>81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942</v>
      </c>
      <c r="H47" s="1" t="s">
        <v>948</v>
      </c>
      <c r="I47" s="1" t="s">
        <v>56</v>
      </c>
    </row>
    <row r="48" spans="1:13" x14ac:dyDescent="0.2">
      <c r="B48" s="1" t="s">
        <v>81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848</v>
      </c>
      <c r="H48" s="1" t="s">
        <v>949</v>
      </c>
      <c r="I48" s="1" t="s">
        <v>56</v>
      </c>
    </row>
    <row r="49" spans="2:9" x14ac:dyDescent="0.2">
      <c r="B49" s="1" t="s">
        <v>81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943</v>
      </c>
      <c r="H49" s="1" t="s">
        <v>950</v>
      </c>
      <c r="I49" s="1" t="s">
        <v>56</v>
      </c>
    </row>
    <row r="50" spans="2:9" x14ac:dyDescent="0.2">
      <c r="B50" s="1" t="s">
        <v>81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944</v>
      </c>
      <c r="H50" s="1" t="s">
        <v>951</v>
      </c>
      <c r="I50" s="1" t="s">
        <v>56</v>
      </c>
    </row>
    <row r="51" spans="2:9" x14ac:dyDescent="0.2">
      <c r="B51" s="1" t="s">
        <v>81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569</v>
      </c>
      <c r="H51" s="1" t="s">
        <v>952</v>
      </c>
      <c r="I51" s="1" t="s">
        <v>56</v>
      </c>
    </row>
    <row r="52" spans="2:9" x14ac:dyDescent="0.2">
      <c r="B52" s="1" t="s">
        <v>81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945</v>
      </c>
      <c r="H52" s="1" t="s">
        <v>953</v>
      </c>
      <c r="I52" s="1" t="s">
        <v>56</v>
      </c>
    </row>
    <row r="53" spans="2:9" x14ac:dyDescent="0.2">
      <c r="B53" s="1" t="s">
        <v>81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203</v>
      </c>
      <c r="H53" s="1" t="s">
        <v>954</v>
      </c>
      <c r="I53" s="1" t="s">
        <v>56</v>
      </c>
    </row>
    <row r="54" spans="2:9" x14ac:dyDescent="0.2">
      <c r="B54" s="1" t="s">
        <v>81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191</v>
      </c>
      <c r="H54" s="1" t="s">
        <v>955</v>
      </c>
      <c r="I54" s="1" t="s">
        <v>56</v>
      </c>
    </row>
    <row r="55" spans="2:9" x14ac:dyDescent="0.2">
      <c r="B55" s="1" t="s">
        <v>81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200</v>
      </c>
      <c r="H55" s="1" t="s">
        <v>956</v>
      </c>
      <c r="I55" s="1" t="s">
        <v>56</v>
      </c>
    </row>
    <row r="56" spans="2:9" x14ac:dyDescent="0.2">
      <c r="B56" s="1" t="s">
        <v>81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185</v>
      </c>
      <c r="H56" s="1" t="s">
        <v>957</v>
      </c>
      <c r="I56" s="1" t="s">
        <v>56</v>
      </c>
    </row>
    <row r="57" spans="2:9" x14ac:dyDescent="0.2">
      <c r="B57" s="1" t="s">
        <v>81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227</v>
      </c>
      <c r="H57" s="1" t="s">
        <v>958</v>
      </c>
      <c r="I57" s="1" t="s">
        <v>56</v>
      </c>
    </row>
    <row r="58" spans="2:9" x14ac:dyDescent="0.2">
      <c r="B58" s="1" t="s">
        <v>81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554</v>
      </c>
      <c r="H58" s="1" t="s">
        <v>959</v>
      </c>
      <c r="I58" s="1" t="s">
        <v>56</v>
      </c>
    </row>
    <row r="59" spans="2:9" x14ac:dyDescent="0.2">
      <c r="B59" s="1" t="s">
        <v>81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182</v>
      </c>
      <c r="H59" s="1" t="s">
        <v>960</v>
      </c>
      <c r="I59" s="1" t="s">
        <v>56</v>
      </c>
    </row>
    <row r="60" spans="2:9" x14ac:dyDescent="0.2">
      <c r="B60" s="1" t="s">
        <v>81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141</v>
      </c>
      <c r="H60" s="1" t="s">
        <v>961</v>
      </c>
      <c r="I60" s="1" t="s">
        <v>56</v>
      </c>
    </row>
    <row r="61" spans="2:9" x14ac:dyDescent="0.2">
      <c r="B61" s="1" t="s">
        <v>81</v>
      </c>
      <c r="C61" s="1">
        <v>182</v>
      </c>
      <c r="D61" s="1">
        <v>0</v>
      </c>
      <c r="E61" s="1">
        <v>0</v>
      </c>
      <c r="F61" s="1">
        <v>0</v>
      </c>
      <c r="G61" s="1" t="s">
        <v>46</v>
      </c>
      <c r="H61" s="1" t="s">
        <v>962</v>
      </c>
      <c r="I61" s="1" t="s">
        <v>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1218</v>
      </c>
    </row>
    <row r="3" spans="1:6" x14ac:dyDescent="0.2">
      <c r="B3" s="16" t="s">
        <v>1219</v>
      </c>
    </row>
    <row r="4" spans="1:6" x14ac:dyDescent="0.2">
      <c r="B4" s="1" t="s">
        <v>129</v>
      </c>
    </row>
    <row r="6" spans="1:6" x14ac:dyDescent="0.2">
      <c r="B6" s="4" t="s">
        <v>1220</v>
      </c>
      <c r="C6" s="19" t="s">
        <v>1213</v>
      </c>
    </row>
    <row r="7" spans="1:6" x14ac:dyDescent="0.2">
      <c r="B7" s="4" t="s">
        <v>1221</v>
      </c>
      <c r="C7" s="46" t="s">
        <v>1213</v>
      </c>
    </row>
    <row r="8" spans="1:6" x14ac:dyDescent="0.2">
      <c r="B8" s="4" t="s">
        <v>1222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1223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1224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1225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1226</v>
      </c>
      <c r="E20" s="1" t="s">
        <v>1227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1228</v>
      </c>
      <c r="E21" s="1" t="s">
        <v>1227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309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307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1229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1230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1231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1232</v>
      </c>
      <c r="E28" s="44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306</v>
      </c>
      <c r="E29" s="1" t="s">
        <v>1233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1234</v>
      </c>
      <c r="E30" s="21">
        <v>1657.4498659000001</v>
      </c>
      <c r="F30" s="23" t="s">
        <v>21</v>
      </c>
    </row>
    <row r="33" spans="1:14" x14ac:dyDescent="0.2">
      <c r="A33" s="4" t="s">
        <v>131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1224</v>
      </c>
      <c r="C35" s="29" t="s">
        <v>1225</v>
      </c>
      <c r="D35" s="29" t="s">
        <v>1226</v>
      </c>
      <c r="E35" s="29" t="s">
        <v>1228</v>
      </c>
      <c r="F35" s="29" t="s">
        <v>27</v>
      </c>
      <c r="G35" s="29" t="s">
        <v>309</v>
      </c>
      <c r="H35" s="29" t="s">
        <v>307</v>
      </c>
      <c r="I35" s="29" t="s">
        <v>1229</v>
      </c>
      <c r="J35" s="29" t="s">
        <v>1230</v>
      </c>
      <c r="K35" s="29" t="s">
        <v>1231</v>
      </c>
      <c r="L35" s="29" t="s">
        <v>1232</v>
      </c>
      <c r="M35" s="29" t="s">
        <v>306</v>
      </c>
      <c r="N35" s="26" t="s">
        <v>1234</v>
      </c>
    </row>
    <row r="36" spans="1:14" ht="12" thickBot="1" x14ac:dyDescent="0.25">
      <c r="B36" s="20">
        <v>3.0640000000000002E-4</v>
      </c>
      <c r="C36" s="21">
        <v>3.0630000000000002E-4</v>
      </c>
      <c r="D36" s="43" t="s">
        <v>1227</v>
      </c>
      <c r="E36" s="43" t="s">
        <v>1227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1233</v>
      </c>
      <c r="N36" s="23">
        <v>1657.4498659000001</v>
      </c>
    </row>
    <row r="40" spans="1:14" x14ac:dyDescent="0.2">
      <c r="A40" s="4" t="s">
        <v>132</v>
      </c>
    </row>
    <row r="42" spans="1:14" x14ac:dyDescent="0.2">
      <c r="B42" s="2" t="s">
        <v>298</v>
      </c>
      <c r="C42" s="2"/>
      <c r="D42" s="2"/>
    </row>
    <row r="43" spans="1:14" x14ac:dyDescent="0.2">
      <c r="B43" s="1" t="s">
        <v>1</v>
      </c>
      <c r="C43" s="1" t="s">
        <v>1235</v>
      </c>
      <c r="D43" s="1" t="s">
        <v>417</v>
      </c>
      <c r="E43" s="1" t="s">
        <v>416</v>
      </c>
      <c r="F43" s="1" t="s">
        <v>304</v>
      </c>
      <c r="G43" s="1" t="s">
        <v>12</v>
      </c>
      <c r="H43" s="1" t="s">
        <v>305</v>
      </c>
      <c r="I43" s="1" t="s">
        <v>938</v>
      </c>
    </row>
    <row r="44" spans="1:14" x14ac:dyDescent="0.2">
      <c r="B44" s="1">
        <v>1</v>
      </c>
      <c r="C44" s="1">
        <v>0</v>
      </c>
      <c r="D44" s="1">
        <v>0</v>
      </c>
      <c r="F44" s="1" t="s">
        <v>33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944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ColWidth="8.88671875" defaultRowHeight="11.4" x14ac:dyDescent="0.2"/>
  <cols>
    <col min="1" max="1" width="3.6640625" style="1" customWidth="1"/>
    <col min="2" max="2" width="17.44140625" style="1" bestFit="1" customWidth="1"/>
    <col min="3" max="3" width="18.33203125" style="1" bestFit="1" customWidth="1"/>
    <col min="4" max="5" width="17.109375" style="1" customWidth="1"/>
    <col min="6" max="6" width="20.3320312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33203125" style="1" customWidth="1"/>
    <col min="14" max="16384" width="8.88671875" style="1"/>
  </cols>
  <sheetData>
    <row r="2" spans="1:6" s="35" customFormat="1" ht="17.399999999999999" x14ac:dyDescent="0.3">
      <c r="B2" s="18" t="s">
        <v>965</v>
      </c>
    </row>
    <row r="3" spans="1:6" x14ac:dyDescent="0.2">
      <c r="B3" s="16" t="s">
        <v>966</v>
      </c>
    </row>
    <row r="4" spans="1:6" x14ac:dyDescent="0.2">
      <c r="B4" s="1" t="s">
        <v>129</v>
      </c>
    </row>
    <row r="6" spans="1:6" x14ac:dyDescent="0.2">
      <c r="B6" s="4" t="s">
        <v>34</v>
      </c>
      <c r="C6" s="19" t="s">
        <v>1213</v>
      </c>
    </row>
    <row r="7" spans="1:6" x14ac:dyDescent="0.2">
      <c r="B7" s="4" t="s">
        <v>35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1201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49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49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50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50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51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52</v>
      </c>
      <c r="E33" s="21">
        <v>31929027</v>
      </c>
      <c r="F33" s="23" t="s">
        <v>21</v>
      </c>
    </row>
    <row r="36" spans="1:6" x14ac:dyDescent="0.2">
      <c r="A36" s="4" t="s">
        <v>131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53</v>
      </c>
      <c r="E38" s="26" t="s">
        <v>54</v>
      </c>
    </row>
    <row r="39" spans="1:6" x14ac:dyDescent="0.2">
      <c r="B39" s="31" t="s">
        <v>49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49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50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50</v>
      </c>
      <c r="C42" s="21">
        <v>2</v>
      </c>
      <c r="D42" s="43">
        <v>2.9996510000000001E-2</v>
      </c>
      <c r="E42" s="45">
        <v>77.790000000000006</v>
      </c>
    </row>
    <row r="45" spans="1:6" x14ac:dyDescent="0.2">
      <c r="A45" s="4" t="s">
        <v>132</v>
      </c>
    </row>
    <row r="47" spans="1:6" x14ac:dyDescent="0.2">
      <c r="B47" s="2" t="s">
        <v>298</v>
      </c>
      <c r="C47" s="2"/>
      <c r="D47" s="2"/>
    </row>
    <row r="48" spans="1:6" x14ac:dyDescent="0.2">
      <c r="B48" s="1" t="s">
        <v>1199</v>
      </c>
      <c r="C48" s="1" t="s">
        <v>1200</v>
      </c>
    </row>
    <row r="49" spans="2:3" x14ac:dyDescent="0.2">
      <c r="B49" s="1" t="s">
        <v>1202</v>
      </c>
      <c r="C49" s="1">
        <v>0</v>
      </c>
    </row>
    <row r="50" spans="2:3" x14ac:dyDescent="0.2">
      <c r="B50" s="1" t="s">
        <v>967</v>
      </c>
      <c r="C50" s="1">
        <v>0</v>
      </c>
    </row>
    <row r="51" spans="2:3" x14ac:dyDescent="0.2">
      <c r="B51" s="1" t="s">
        <v>968</v>
      </c>
      <c r="C51" s="1">
        <v>0</v>
      </c>
    </row>
    <row r="52" spans="2:3" x14ac:dyDescent="0.2">
      <c r="B52" s="1" t="s">
        <v>969</v>
      </c>
      <c r="C52" s="1">
        <v>0</v>
      </c>
    </row>
    <row r="53" spans="2:3" x14ac:dyDescent="0.2">
      <c r="B53" s="1" t="s">
        <v>970</v>
      </c>
      <c r="C53" s="1">
        <v>0</v>
      </c>
    </row>
    <row r="54" spans="2:3" x14ac:dyDescent="0.2">
      <c r="B54" s="1" t="s">
        <v>510</v>
      </c>
      <c r="C54" s="1">
        <v>0</v>
      </c>
    </row>
    <row r="55" spans="2:3" x14ac:dyDescent="0.2">
      <c r="B55" s="1" t="s">
        <v>971</v>
      </c>
      <c r="C55" s="1">
        <v>0</v>
      </c>
    </row>
    <row r="56" spans="2:3" x14ac:dyDescent="0.2">
      <c r="B56" s="1" t="s">
        <v>511</v>
      </c>
      <c r="C56" s="1">
        <v>0</v>
      </c>
    </row>
    <row r="57" spans="2:3" x14ac:dyDescent="0.2">
      <c r="B57" s="1" t="s">
        <v>513</v>
      </c>
      <c r="C57" s="1">
        <v>0</v>
      </c>
    </row>
    <row r="58" spans="2:3" x14ac:dyDescent="0.2">
      <c r="B58" s="1" t="s">
        <v>940</v>
      </c>
      <c r="C58" s="1">
        <v>0</v>
      </c>
    </row>
    <row r="59" spans="2:3" x14ac:dyDescent="0.2">
      <c r="B59" s="1" t="s">
        <v>972</v>
      </c>
      <c r="C59" s="1">
        <v>0</v>
      </c>
    </row>
    <row r="60" spans="2:3" x14ac:dyDescent="0.2">
      <c r="B60" s="1" t="s">
        <v>272</v>
      </c>
      <c r="C60" s="1">
        <v>0</v>
      </c>
    </row>
    <row r="61" spans="2:3" x14ac:dyDescent="0.2">
      <c r="B61" s="1" t="s">
        <v>973</v>
      </c>
      <c r="C61" s="1">
        <v>0</v>
      </c>
    </row>
    <row r="62" spans="2:3" x14ac:dyDescent="0.2">
      <c r="B62" s="1" t="s">
        <v>974</v>
      </c>
      <c r="C62" s="1">
        <v>0</v>
      </c>
    </row>
    <row r="63" spans="2:3" x14ac:dyDescent="0.2">
      <c r="B63" s="1" t="s">
        <v>975</v>
      </c>
      <c r="C63" s="1">
        <v>0</v>
      </c>
    </row>
    <row r="64" spans="2:3" x14ac:dyDescent="0.2">
      <c r="B64" s="1" t="s">
        <v>976</v>
      </c>
      <c r="C64" s="1">
        <v>0</v>
      </c>
    </row>
    <row r="65" spans="2:3" x14ac:dyDescent="0.2">
      <c r="B65" s="1" t="s">
        <v>977</v>
      </c>
      <c r="C65" s="1">
        <v>0</v>
      </c>
    </row>
    <row r="66" spans="2:3" x14ac:dyDescent="0.2">
      <c r="B66" s="1" t="s">
        <v>179</v>
      </c>
      <c r="C66" s="1">
        <v>0</v>
      </c>
    </row>
    <row r="67" spans="2:3" x14ac:dyDescent="0.2">
      <c r="B67" s="1" t="s">
        <v>978</v>
      </c>
      <c r="C67" s="1">
        <v>0</v>
      </c>
    </row>
    <row r="68" spans="2:3" x14ac:dyDescent="0.2">
      <c r="B68" s="1" t="s">
        <v>979</v>
      </c>
      <c r="C68" s="1">
        <v>0</v>
      </c>
    </row>
    <row r="69" spans="2:3" x14ac:dyDescent="0.2">
      <c r="B69" s="1" t="s">
        <v>140</v>
      </c>
      <c r="C69" s="1">
        <v>0</v>
      </c>
    </row>
    <row r="70" spans="2:3" x14ac:dyDescent="0.2">
      <c r="B70" s="1" t="s">
        <v>352</v>
      </c>
      <c r="C70" s="1">
        <v>0</v>
      </c>
    </row>
    <row r="71" spans="2:3" x14ac:dyDescent="0.2">
      <c r="B71" s="1" t="s">
        <v>286</v>
      </c>
      <c r="C71" s="1">
        <v>0</v>
      </c>
    </row>
    <row r="72" spans="2:3" x14ac:dyDescent="0.2">
      <c r="B72" s="1" t="s">
        <v>287</v>
      </c>
      <c r="C72" s="1">
        <v>0</v>
      </c>
    </row>
    <row r="73" spans="2:3" x14ac:dyDescent="0.2">
      <c r="B73" s="1" t="s">
        <v>258</v>
      </c>
      <c r="C73" s="1">
        <v>0</v>
      </c>
    </row>
    <row r="74" spans="2:3" x14ac:dyDescent="0.2">
      <c r="B74" s="1" t="s">
        <v>980</v>
      </c>
      <c r="C74" s="1">
        <v>0</v>
      </c>
    </row>
    <row r="75" spans="2:3" x14ac:dyDescent="0.2">
      <c r="B75" s="1" t="s">
        <v>981</v>
      </c>
      <c r="C75" s="1">
        <v>0</v>
      </c>
    </row>
    <row r="76" spans="2:3" x14ac:dyDescent="0.2">
      <c r="B76" s="1" t="s">
        <v>535</v>
      </c>
      <c r="C76" s="1">
        <v>0</v>
      </c>
    </row>
    <row r="77" spans="2:3" x14ac:dyDescent="0.2">
      <c r="B77" s="1" t="s">
        <v>982</v>
      </c>
      <c r="C77" s="1">
        <v>0</v>
      </c>
    </row>
    <row r="78" spans="2:3" x14ac:dyDescent="0.2">
      <c r="B78" s="1" t="s">
        <v>983</v>
      </c>
      <c r="C78" s="1">
        <v>0</v>
      </c>
    </row>
    <row r="79" spans="2:3" x14ac:dyDescent="0.2">
      <c r="B79" s="1" t="s">
        <v>542</v>
      </c>
      <c r="C79" s="1">
        <v>0</v>
      </c>
    </row>
    <row r="80" spans="2:3" x14ac:dyDescent="0.2">
      <c r="B80" s="1" t="s">
        <v>984</v>
      </c>
      <c r="C80" s="1">
        <v>0</v>
      </c>
    </row>
    <row r="81" spans="2:3" x14ac:dyDescent="0.2">
      <c r="B81" s="1" t="s">
        <v>985</v>
      </c>
      <c r="C81" s="1">
        <v>0</v>
      </c>
    </row>
    <row r="82" spans="2:3" x14ac:dyDescent="0.2">
      <c r="B82" s="1" t="s">
        <v>986</v>
      </c>
      <c r="C82" s="1">
        <v>0</v>
      </c>
    </row>
    <row r="83" spans="2:3" x14ac:dyDescent="0.2">
      <c r="B83" s="1" t="s">
        <v>987</v>
      </c>
      <c r="C83" s="1">
        <v>0</v>
      </c>
    </row>
    <row r="84" spans="2:3" x14ac:dyDescent="0.2">
      <c r="B84" s="1" t="s">
        <v>988</v>
      </c>
      <c r="C84" s="1">
        <v>0</v>
      </c>
    </row>
    <row r="85" spans="2:3" x14ac:dyDescent="0.2">
      <c r="B85" s="1" t="s">
        <v>139</v>
      </c>
      <c r="C85" s="1">
        <v>0</v>
      </c>
    </row>
    <row r="86" spans="2:3" x14ac:dyDescent="0.2">
      <c r="B86" s="1" t="s">
        <v>989</v>
      </c>
      <c r="C86" s="1">
        <v>0</v>
      </c>
    </row>
    <row r="87" spans="2:3" x14ac:dyDescent="0.2">
      <c r="B87" s="1" t="s">
        <v>990</v>
      </c>
      <c r="C87" s="1">
        <v>0</v>
      </c>
    </row>
    <row r="88" spans="2:3" x14ac:dyDescent="0.2">
      <c r="B88" s="1" t="s">
        <v>33</v>
      </c>
      <c r="C88" s="1">
        <v>0</v>
      </c>
    </row>
    <row r="89" spans="2:3" x14ac:dyDescent="0.2">
      <c r="B89" s="1" t="s">
        <v>991</v>
      </c>
      <c r="C89" s="1">
        <v>0</v>
      </c>
    </row>
    <row r="90" spans="2:3" x14ac:dyDescent="0.2">
      <c r="B90" s="1" t="s">
        <v>992</v>
      </c>
      <c r="C90" s="1">
        <v>0</v>
      </c>
    </row>
    <row r="91" spans="2:3" x14ac:dyDescent="0.2">
      <c r="B91" s="1" t="s">
        <v>555</v>
      </c>
      <c r="C91" s="1">
        <v>0</v>
      </c>
    </row>
    <row r="92" spans="2:3" x14ac:dyDescent="0.2">
      <c r="B92" s="1" t="s">
        <v>208</v>
      </c>
      <c r="C92" s="1">
        <v>0</v>
      </c>
    </row>
    <row r="93" spans="2:3" x14ac:dyDescent="0.2">
      <c r="B93" s="1" t="s">
        <v>993</v>
      </c>
      <c r="C93" s="1">
        <v>0</v>
      </c>
    </row>
    <row r="94" spans="2:3" x14ac:dyDescent="0.2">
      <c r="B94" s="1" t="s">
        <v>994</v>
      </c>
      <c r="C94" s="1">
        <v>0</v>
      </c>
    </row>
    <row r="95" spans="2:3" x14ac:dyDescent="0.2">
      <c r="B95" s="1" t="s">
        <v>995</v>
      </c>
      <c r="C95" s="1">
        <v>0</v>
      </c>
    </row>
    <row r="96" spans="2:3" x14ac:dyDescent="0.2">
      <c r="B96" s="1" t="s">
        <v>996</v>
      </c>
      <c r="C96" s="1">
        <v>0</v>
      </c>
    </row>
    <row r="97" spans="2:3" x14ac:dyDescent="0.2">
      <c r="B97" s="1" t="s">
        <v>997</v>
      </c>
      <c r="C97" s="1">
        <v>0</v>
      </c>
    </row>
    <row r="98" spans="2:3" x14ac:dyDescent="0.2">
      <c r="B98" s="1" t="s">
        <v>998</v>
      </c>
      <c r="C98" s="1">
        <v>0</v>
      </c>
    </row>
    <row r="99" spans="2:3" x14ac:dyDescent="0.2">
      <c r="B99" s="1" t="s">
        <v>999</v>
      </c>
      <c r="C99" s="1">
        <v>0</v>
      </c>
    </row>
    <row r="100" spans="2:3" x14ac:dyDescent="0.2">
      <c r="B100" s="1" t="s">
        <v>1000</v>
      </c>
      <c r="C100" s="1">
        <v>0</v>
      </c>
    </row>
    <row r="101" spans="2:3" x14ac:dyDescent="0.2">
      <c r="B101" s="1" t="s">
        <v>1001</v>
      </c>
      <c r="C101" s="1">
        <v>0</v>
      </c>
    </row>
    <row r="102" spans="2:3" x14ac:dyDescent="0.2">
      <c r="B102" s="1" t="s">
        <v>1002</v>
      </c>
      <c r="C102" s="1">
        <v>0</v>
      </c>
    </row>
    <row r="103" spans="2:3" x14ac:dyDescent="0.2">
      <c r="B103" s="1" t="s">
        <v>1003</v>
      </c>
      <c r="C103" s="1">
        <v>0</v>
      </c>
    </row>
    <row r="104" spans="2:3" x14ac:dyDescent="0.2">
      <c r="B104" s="1" t="s">
        <v>1004</v>
      </c>
      <c r="C104" s="1">
        <v>0</v>
      </c>
    </row>
    <row r="105" spans="2:3" x14ac:dyDescent="0.2">
      <c r="B105" s="1" t="s">
        <v>1005</v>
      </c>
      <c r="C105" s="1">
        <v>0</v>
      </c>
    </row>
    <row r="106" spans="2:3" x14ac:dyDescent="0.2">
      <c r="B106" s="1" t="s">
        <v>1006</v>
      </c>
      <c r="C106" s="1">
        <v>0</v>
      </c>
    </row>
    <row r="107" spans="2:3" x14ac:dyDescent="0.2">
      <c r="B107" s="1" t="s">
        <v>1007</v>
      </c>
      <c r="C107" s="1">
        <v>0</v>
      </c>
    </row>
    <row r="108" spans="2:3" x14ac:dyDescent="0.2">
      <c r="B108" s="1" t="s">
        <v>1008</v>
      </c>
      <c r="C108" s="1">
        <v>0</v>
      </c>
    </row>
    <row r="109" spans="2:3" x14ac:dyDescent="0.2">
      <c r="B109" s="1" t="s">
        <v>1009</v>
      </c>
      <c r="C109" s="1">
        <v>0</v>
      </c>
    </row>
    <row r="110" spans="2:3" x14ac:dyDescent="0.2">
      <c r="B110" s="1" t="s">
        <v>1010</v>
      </c>
      <c r="C110" s="1">
        <v>0</v>
      </c>
    </row>
    <row r="111" spans="2:3" x14ac:dyDescent="0.2">
      <c r="B111" s="1" t="s">
        <v>1011</v>
      </c>
      <c r="C111" s="1">
        <v>0</v>
      </c>
    </row>
    <row r="112" spans="2:3" x14ac:dyDescent="0.2">
      <c r="B112" s="1" t="s">
        <v>163</v>
      </c>
      <c r="C112" s="1">
        <v>0</v>
      </c>
    </row>
    <row r="113" spans="2:3" x14ac:dyDescent="0.2">
      <c r="B113" s="1" t="s">
        <v>1012</v>
      </c>
      <c r="C113" s="1">
        <v>0</v>
      </c>
    </row>
    <row r="114" spans="2:3" x14ac:dyDescent="0.2">
      <c r="B114" s="1" t="s">
        <v>1013</v>
      </c>
      <c r="C114" s="1">
        <v>0</v>
      </c>
    </row>
    <row r="115" spans="2:3" x14ac:dyDescent="0.2">
      <c r="B115" s="1" t="s">
        <v>180</v>
      </c>
      <c r="C115" s="1">
        <v>0</v>
      </c>
    </row>
    <row r="116" spans="2:3" x14ac:dyDescent="0.2">
      <c r="B116" s="1" t="s">
        <v>283</v>
      </c>
      <c r="C116" s="1">
        <v>0</v>
      </c>
    </row>
    <row r="117" spans="2:3" x14ac:dyDescent="0.2">
      <c r="B117" s="1" t="s">
        <v>615</v>
      </c>
      <c r="C117" s="1">
        <v>0</v>
      </c>
    </row>
    <row r="118" spans="2:3" x14ac:dyDescent="0.2">
      <c r="B118" s="1" t="s">
        <v>617</v>
      </c>
      <c r="C118" s="1">
        <v>0</v>
      </c>
    </row>
    <row r="119" spans="2:3" x14ac:dyDescent="0.2">
      <c r="B119" s="1" t="s">
        <v>1014</v>
      </c>
      <c r="C119" s="1">
        <v>0</v>
      </c>
    </row>
    <row r="120" spans="2:3" x14ac:dyDescent="0.2">
      <c r="B120" s="1" t="s">
        <v>1015</v>
      </c>
      <c r="C120" s="1">
        <v>0</v>
      </c>
    </row>
    <row r="121" spans="2:3" x14ac:dyDescent="0.2">
      <c r="B121" s="1" t="s">
        <v>1016</v>
      </c>
      <c r="C121" s="1">
        <v>0</v>
      </c>
    </row>
    <row r="122" spans="2:3" x14ac:dyDescent="0.2">
      <c r="B122" s="1" t="s">
        <v>1017</v>
      </c>
      <c r="C122" s="1">
        <v>0</v>
      </c>
    </row>
    <row r="123" spans="2:3" x14ac:dyDescent="0.2">
      <c r="B123" s="1" t="s">
        <v>620</v>
      </c>
      <c r="C123" s="1">
        <v>0</v>
      </c>
    </row>
    <row r="124" spans="2:3" x14ac:dyDescent="0.2">
      <c r="B124" s="1" t="s">
        <v>1018</v>
      </c>
      <c r="C124" s="1">
        <v>0</v>
      </c>
    </row>
    <row r="125" spans="2:3" x14ac:dyDescent="0.2">
      <c r="B125" s="1" t="s">
        <v>1019</v>
      </c>
      <c r="C125" s="1">
        <v>0</v>
      </c>
    </row>
    <row r="126" spans="2:3" x14ac:dyDescent="0.2">
      <c r="B126" s="1" t="s">
        <v>627</v>
      </c>
      <c r="C126" s="1">
        <v>0</v>
      </c>
    </row>
    <row r="127" spans="2:3" x14ac:dyDescent="0.2">
      <c r="B127" s="1" t="s">
        <v>1020</v>
      </c>
      <c r="C127" s="1">
        <v>0</v>
      </c>
    </row>
    <row r="128" spans="2:3" x14ac:dyDescent="0.2">
      <c r="B128" s="1" t="s">
        <v>1021</v>
      </c>
      <c r="C128" s="1">
        <v>0</v>
      </c>
    </row>
    <row r="129" spans="2:3" x14ac:dyDescent="0.2">
      <c r="B129" s="1" t="s">
        <v>1022</v>
      </c>
      <c r="C129" s="1">
        <v>0</v>
      </c>
    </row>
    <row r="130" spans="2:3" x14ac:dyDescent="0.2">
      <c r="B130" s="1" t="s">
        <v>1023</v>
      </c>
      <c r="C130" s="1">
        <v>0</v>
      </c>
    </row>
    <row r="131" spans="2:3" x14ac:dyDescent="0.2">
      <c r="B131" s="1" t="s">
        <v>1024</v>
      </c>
      <c r="C131" s="1">
        <v>0</v>
      </c>
    </row>
    <row r="132" spans="2:3" x14ac:dyDescent="0.2">
      <c r="B132" s="1" t="s">
        <v>1025</v>
      </c>
      <c r="C132" s="1">
        <v>0</v>
      </c>
    </row>
    <row r="133" spans="2:3" x14ac:dyDescent="0.2">
      <c r="B133" s="1" t="s">
        <v>1026</v>
      </c>
      <c r="C133" s="1">
        <v>0</v>
      </c>
    </row>
    <row r="134" spans="2:3" x14ac:dyDescent="0.2">
      <c r="B134" s="1" t="s">
        <v>1027</v>
      </c>
      <c r="C134" s="1">
        <v>0</v>
      </c>
    </row>
    <row r="135" spans="2:3" x14ac:dyDescent="0.2">
      <c r="B135" s="1" t="s">
        <v>137</v>
      </c>
      <c r="C135" s="1">
        <v>0</v>
      </c>
    </row>
    <row r="136" spans="2:3" x14ac:dyDescent="0.2">
      <c r="B136" s="1" t="s">
        <v>173</v>
      </c>
      <c r="C136" s="1">
        <v>0</v>
      </c>
    </row>
    <row r="137" spans="2:3" x14ac:dyDescent="0.2">
      <c r="B137" s="1" t="s">
        <v>47</v>
      </c>
      <c r="C137" s="1">
        <v>0</v>
      </c>
    </row>
    <row r="138" spans="2:3" x14ac:dyDescent="0.2">
      <c r="B138" s="1" t="s">
        <v>1028</v>
      </c>
      <c r="C138" s="1">
        <v>0</v>
      </c>
    </row>
    <row r="139" spans="2:3" x14ac:dyDescent="0.2">
      <c r="B139" s="1" t="s">
        <v>1029</v>
      </c>
      <c r="C139" s="1">
        <v>0</v>
      </c>
    </row>
    <row r="140" spans="2:3" x14ac:dyDescent="0.2">
      <c r="B140" s="1" t="s">
        <v>1030</v>
      </c>
      <c r="C140" s="1">
        <v>0</v>
      </c>
    </row>
    <row r="141" spans="2:3" x14ac:dyDescent="0.2">
      <c r="B141" s="1" t="s">
        <v>1031</v>
      </c>
      <c r="C141" s="1">
        <v>0</v>
      </c>
    </row>
    <row r="142" spans="2:3" x14ac:dyDescent="0.2">
      <c r="B142" s="1" t="s">
        <v>655</v>
      </c>
      <c r="C142" s="1">
        <v>0</v>
      </c>
    </row>
    <row r="143" spans="2:3" x14ac:dyDescent="0.2">
      <c r="B143" s="1" t="s">
        <v>1032</v>
      </c>
      <c r="C143" s="1">
        <v>0</v>
      </c>
    </row>
    <row r="144" spans="2:3" x14ac:dyDescent="0.2">
      <c r="B144" s="1" t="s">
        <v>1033</v>
      </c>
      <c r="C144" s="1">
        <v>0</v>
      </c>
    </row>
    <row r="145" spans="2:3" x14ac:dyDescent="0.2">
      <c r="B145" s="1" t="s">
        <v>1034</v>
      </c>
      <c r="C145" s="1">
        <v>0</v>
      </c>
    </row>
    <row r="146" spans="2:3" x14ac:dyDescent="0.2">
      <c r="B146" s="1" t="s">
        <v>1035</v>
      </c>
      <c r="C146" s="1">
        <v>0</v>
      </c>
    </row>
    <row r="147" spans="2:3" x14ac:dyDescent="0.2">
      <c r="B147" s="1" t="s">
        <v>1036</v>
      </c>
      <c r="C147" s="1">
        <v>0</v>
      </c>
    </row>
    <row r="148" spans="2:3" x14ac:dyDescent="0.2">
      <c r="B148" s="1" t="s">
        <v>1037</v>
      </c>
      <c r="C148" s="1">
        <v>0</v>
      </c>
    </row>
    <row r="149" spans="2:3" x14ac:dyDescent="0.2">
      <c r="B149" s="1" t="s">
        <v>1038</v>
      </c>
      <c r="C149" s="1">
        <v>0</v>
      </c>
    </row>
    <row r="150" spans="2:3" x14ac:dyDescent="0.2">
      <c r="B150" s="1" t="s">
        <v>1039</v>
      </c>
      <c r="C150" s="1">
        <v>0</v>
      </c>
    </row>
    <row r="151" spans="2:3" x14ac:dyDescent="0.2">
      <c r="B151" s="1" t="s">
        <v>1040</v>
      </c>
      <c r="C151" s="1">
        <v>0</v>
      </c>
    </row>
    <row r="152" spans="2:3" x14ac:dyDescent="0.2">
      <c r="B152" s="1" t="s">
        <v>1041</v>
      </c>
      <c r="C152" s="1">
        <v>0</v>
      </c>
    </row>
    <row r="153" spans="2:3" x14ac:dyDescent="0.2">
      <c r="B153" s="1" t="s">
        <v>1042</v>
      </c>
      <c r="C153" s="1">
        <v>0</v>
      </c>
    </row>
    <row r="154" spans="2:3" x14ac:dyDescent="0.2">
      <c r="B154" s="1" t="s">
        <v>1043</v>
      </c>
      <c r="C154" s="1">
        <v>0</v>
      </c>
    </row>
    <row r="155" spans="2:3" x14ac:dyDescent="0.2">
      <c r="B155" s="1" t="s">
        <v>1044</v>
      </c>
      <c r="C155" s="1">
        <v>0</v>
      </c>
    </row>
    <row r="156" spans="2:3" x14ac:dyDescent="0.2">
      <c r="B156" s="1" t="s">
        <v>1045</v>
      </c>
      <c r="C156" s="1">
        <v>0</v>
      </c>
    </row>
    <row r="157" spans="2:3" x14ac:dyDescent="0.2">
      <c r="B157" s="1" t="s">
        <v>665</v>
      </c>
      <c r="C157" s="1">
        <v>0</v>
      </c>
    </row>
    <row r="158" spans="2:3" x14ac:dyDescent="0.2">
      <c r="B158" s="1" t="s">
        <v>1046</v>
      </c>
      <c r="C158" s="1">
        <v>0</v>
      </c>
    </row>
    <row r="159" spans="2:3" x14ac:dyDescent="0.2">
      <c r="B159" s="1" t="s">
        <v>96</v>
      </c>
      <c r="C159" s="1">
        <v>0</v>
      </c>
    </row>
    <row r="160" spans="2:3" x14ac:dyDescent="0.2">
      <c r="B160" s="1" t="s">
        <v>1047</v>
      </c>
      <c r="C160" s="1">
        <v>0</v>
      </c>
    </row>
    <row r="161" spans="2:3" x14ac:dyDescent="0.2">
      <c r="B161" s="1" t="s">
        <v>1048</v>
      </c>
      <c r="C161" s="1">
        <v>0</v>
      </c>
    </row>
    <row r="162" spans="2:3" x14ac:dyDescent="0.2">
      <c r="B162" s="1" t="s">
        <v>1049</v>
      </c>
      <c r="C162" s="1">
        <v>0</v>
      </c>
    </row>
    <row r="163" spans="2:3" x14ac:dyDescent="0.2">
      <c r="B163" s="1" t="s">
        <v>1050</v>
      </c>
      <c r="C163" s="1">
        <v>0</v>
      </c>
    </row>
    <row r="164" spans="2:3" x14ac:dyDescent="0.2">
      <c r="B164" s="1" t="s">
        <v>1051</v>
      </c>
      <c r="C164" s="1">
        <v>0</v>
      </c>
    </row>
    <row r="165" spans="2:3" x14ac:dyDescent="0.2">
      <c r="B165" s="1" t="s">
        <v>1052</v>
      </c>
      <c r="C165" s="1">
        <v>0</v>
      </c>
    </row>
    <row r="166" spans="2:3" x14ac:dyDescent="0.2">
      <c r="B166" s="1" t="s">
        <v>668</v>
      </c>
      <c r="C166" s="1">
        <v>0</v>
      </c>
    </row>
    <row r="167" spans="2:3" x14ac:dyDescent="0.2">
      <c r="B167" s="1" t="s">
        <v>1053</v>
      </c>
      <c r="C167" s="1">
        <v>0</v>
      </c>
    </row>
    <row r="168" spans="2:3" x14ac:dyDescent="0.2">
      <c r="B168" s="1" t="s">
        <v>177</v>
      </c>
      <c r="C168" s="1">
        <v>0</v>
      </c>
    </row>
    <row r="169" spans="2:3" x14ac:dyDescent="0.2">
      <c r="B169" s="1" t="s">
        <v>1054</v>
      </c>
      <c r="C169" s="1">
        <v>0</v>
      </c>
    </row>
    <row r="170" spans="2:3" x14ac:dyDescent="0.2">
      <c r="B170" s="1" t="s">
        <v>1055</v>
      </c>
      <c r="C170" s="1">
        <v>0</v>
      </c>
    </row>
    <row r="171" spans="2:3" x14ac:dyDescent="0.2">
      <c r="B171" s="1" t="s">
        <v>1056</v>
      </c>
      <c r="C171" s="1">
        <v>0</v>
      </c>
    </row>
    <row r="172" spans="2:3" x14ac:dyDescent="0.2">
      <c r="B172" s="1" t="s">
        <v>1057</v>
      </c>
      <c r="C172" s="1">
        <v>0</v>
      </c>
    </row>
    <row r="173" spans="2:3" x14ac:dyDescent="0.2">
      <c r="B173" s="1" t="s">
        <v>1058</v>
      </c>
      <c r="C173" s="1">
        <v>0</v>
      </c>
    </row>
    <row r="174" spans="2:3" x14ac:dyDescent="0.2">
      <c r="B174" s="1" t="s">
        <v>671</v>
      </c>
      <c r="C174" s="1">
        <v>0</v>
      </c>
    </row>
    <row r="175" spans="2:3" x14ac:dyDescent="0.2">
      <c r="B175" s="1" t="s">
        <v>255</v>
      </c>
      <c r="C175" s="1">
        <v>0</v>
      </c>
    </row>
    <row r="176" spans="2:3" x14ac:dyDescent="0.2">
      <c r="B176" s="1" t="s">
        <v>1059</v>
      </c>
      <c r="C176" s="1">
        <v>0</v>
      </c>
    </row>
    <row r="177" spans="2:3" x14ac:dyDescent="0.2">
      <c r="B177" s="1" t="s">
        <v>1060</v>
      </c>
      <c r="C177" s="1">
        <v>0</v>
      </c>
    </row>
    <row r="178" spans="2:3" x14ac:dyDescent="0.2">
      <c r="B178" s="1" t="s">
        <v>1061</v>
      </c>
      <c r="C178" s="1">
        <v>0</v>
      </c>
    </row>
    <row r="179" spans="2:3" x14ac:dyDescent="0.2">
      <c r="B179" s="1" t="s">
        <v>273</v>
      </c>
      <c r="C179" s="1">
        <v>0</v>
      </c>
    </row>
    <row r="180" spans="2:3" x14ac:dyDescent="0.2">
      <c r="B180" s="1" t="s">
        <v>1062</v>
      </c>
      <c r="C180" s="1">
        <v>0</v>
      </c>
    </row>
    <row r="181" spans="2:3" x14ac:dyDescent="0.2">
      <c r="B181" s="1" t="s">
        <v>1063</v>
      </c>
      <c r="C181" s="1">
        <v>0</v>
      </c>
    </row>
    <row r="182" spans="2:3" x14ac:dyDescent="0.2">
      <c r="B182" s="1" t="s">
        <v>1064</v>
      </c>
      <c r="C182" s="1">
        <v>0</v>
      </c>
    </row>
    <row r="183" spans="2:3" x14ac:dyDescent="0.2">
      <c r="B183" s="1" t="s">
        <v>1065</v>
      </c>
      <c r="C183" s="1">
        <v>0</v>
      </c>
    </row>
    <row r="184" spans="2:3" x14ac:dyDescent="0.2">
      <c r="B184" s="1" t="s">
        <v>1066</v>
      </c>
      <c r="C184" s="1">
        <v>0</v>
      </c>
    </row>
    <row r="185" spans="2:3" x14ac:dyDescent="0.2">
      <c r="B185" s="1" t="s">
        <v>1067</v>
      </c>
      <c r="C185" s="1">
        <v>0</v>
      </c>
    </row>
    <row r="186" spans="2:3" x14ac:dyDescent="0.2">
      <c r="B186" s="1" t="s">
        <v>1068</v>
      </c>
      <c r="C186" s="1">
        <v>0</v>
      </c>
    </row>
    <row r="187" spans="2:3" x14ac:dyDescent="0.2">
      <c r="B187" s="1" t="s">
        <v>1069</v>
      </c>
      <c r="C187" s="1">
        <v>0</v>
      </c>
    </row>
    <row r="188" spans="2:3" x14ac:dyDescent="0.2">
      <c r="B188" s="1" t="s">
        <v>939</v>
      </c>
      <c r="C188" s="1">
        <v>0</v>
      </c>
    </row>
    <row r="189" spans="2:3" x14ac:dyDescent="0.2">
      <c r="B189" s="1" t="s">
        <v>1070</v>
      </c>
      <c r="C189" s="1">
        <v>0</v>
      </c>
    </row>
    <row r="190" spans="2:3" x14ac:dyDescent="0.2">
      <c r="B190" s="1" t="s">
        <v>1071</v>
      </c>
      <c r="C190" s="1">
        <v>0</v>
      </c>
    </row>
    <row r="191" spans="2:3" x14ac:dyDescent="0.2">
      <c r="B191" s="1" t="s">
        <v>1072</v>
      </c>
      <c r="C191" s="1">
        <v>0</v>
      </c>
    </row>
    <row r="192" spans="2:3" x14ac:dyDescent="0.2">
      <c r="B192" s="1" t="s">
        <v>1073</v>
      </c>
      <c r="C192" s="1">
        <v>0</v>
      </c>
    </row>
    <row r="193" spans="2:3" x14ac:dyDescent="0.2">
      <c r="B193" s="1" t="s">
        <v>1074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157</v>
      </c>
      <c r="C195" s="1">
        <v>0</v>
      </c>
    </row>
    <row r="196" spans="2:3" x14ac:dyDescent="0.2">
      <c r="B196" s="1" t="s">
        <v>1075</v>
      </c>
      <c r="C196" s="1">
        <v>0</v>
      </c>
    </row>
    <row r="197" spans="2:3" x14ac:dyDescent="0.2">
      <c r="B197" s="1" t="s">
        <v>1076</v>
      </c>
      <c r="C197" s="1">
        <v>0</v>
      </c>
    </row>
    <row r="198" spans="2:3" x14ac:dyDescent="0.2">
      <c r="B198" s="1" t="s">
        <v>1077</v>
      </c>
      <c r="C198" s="1">
        <v>0</v>
      </c>
    </row>
    <row r="199" spans="2:3" x14ac:dyDescent="0.2">
      <c r="B199" s="1" t="s">
        <v>1078</v>
      </c>
      <c r="C199" s="1">
        <v>0</v>
      </c>
    </row>
    <row r="200" spans="2:3" x14ac:dyDescent="0.2">
      <c r="B200" s="1" t="s">
        <v>1079</v>
      </c>
      <c r="C200" s="1">
        <v>0</v>
      </c>
    </row>
    <row r="201" spans="2:3" x14ac:dyDescent="0.2">
      <c r="B201" s="1" t="s">
        <v>1080</v>
      </c>
      <c r="C201" s="1">
        <v>0</v>
      </c>
    </row>
    <row r="202" spans="2:3" x14ac:dyDescent="0.2">
      <c r="B202" s="1" t="s">
        <v>257</v>
      </c>
      <c r="C202" s="1">
        <v>0</v>
      </c>
    </row>
    <row r="203" spans="2:3" x14ac:dyDescent="0.2">
      <c r="B203" s="1" t="s">
        <v>1081</v>
      </c>
      <c r="C203" s="1">
        <v>0</v>
      </c>
    </row>
    <row r="204" spans="2:3" x14ac:dyDescent="0.2">
      <c r="B204" s="1" t="s">
        <v>1082</v>
      </c>
      <c r="C204" s="1">
        <v>0</v>
      </c>
    </row>
    <row r="205" spans="2:3" x14ac:dyDescent="0.2">
      <c r="B205" s="1" t="s">
        <v>1083</v>
      </c>
      <c r="C205" s="1">
        <v>0</v>
      </c>
    </row>
    <row r="206" spans="2:3" x14ac:dyDescent="0.2">
      <c r="B206" s="1" t="s">
        <v>212</v>
      </c>
      <c r="C206" s="1">
        <v>0</v>
      </c>
    </row>
    <row r="207" spans="2:3" x14ac:dyDescent="0.2">
      <c r="B207" s="1" t="s">
        <v>1084</v>
      </c>
      <c r="C207" s="1">
        <v>0</v>
      </c>
    </row>
    <row r="208" spans="2:3" x14ac:dyDescent="0.2">
      <c r="B208" s="1" t="s">
        <v>46</v>
      </c>
      <c r="C208" s="1">
        <v>0</v>
      </c>
    </row>
    <row r="209" spans="2:3" x14ac:dyDescent="0.2">
      <c r="B209" s="1" t="s">
        <v>1085</v>
      </c>
      <c r="C209" s="1">
        <v>0</v>
      </c>
    </row>
    <row r="210" spans="2:3" x14ac:dyDescent="0.2">
      <c r="B210" s="1" t="s">
        <v>728</v>
      </c>
      <c r="C210" s="1">
        <v>0</v>
      </c>
    </row>
    <row r="211" spans="2:3" x14ac:dyDescent="0.2">
      <c r="B211" s="1" t="s">
        <v>198</v>
      </c>
      <c r="C211" s="1">
        <v>0</v>
      </c>
    </row>
    <row r="212" spans="2:3" x14ac:dyDescent="0.2">
      <c r="B212" s="1" t="s">
        <v>1086</v>
      </c>
      <c r="C212" s="1">
        <v>0</v>
      </c>
    </row>
    <row r="213" spans="2:3" x14ac:dyDescent="0.2">
      <c r="B213" s="1" t="s">
        <v>1087</v>
      </c>
      <c r="C213" s="1">
        <v>0</v>
      </c>
    </row>
    <row r="214" spans="2:3" x14ac:dyDescent="0.2">
      <c r="B214" s="1" t="s">
        <v>1088</v>
      </c>
      <c r="C214" s="1">
        <v>0</v>
      </c>
    </row>
    <row r="215" spans="2:3" x14ac:dyDescent="0.2">
      <c r="B215" s="1" t="s">
        <v>1089</v>
      </c>
      <c r="C215" s="1">
        <v>0</v>
      </c>
    </row>
    <row r="216" spans="2:3" x14ac:dyDescent="0.2">
      <c r="B216" s="1" t="s">
        <v>1090</v>
      </c>
      <c r="C216" s="1">
        <v>0</v>
      </c>
    </row>
    <row r="217" spans="2:3" x14ac:dyDescent="0.2">
      <c r="B217" s="1" t="s">
        <v>1091</v>
      </c>
      <c r="C217" s="1">
        <v>0</v>
      </c>
    </row>
    <row r="218" spans="2:3" x14ac:dyDescent="0.2">
      <c r="B218" s="1" t="s">
        <v>1092</v>
      </c>
      <c r="C218" s="1">
        <v>0</v>
      </c>
    </row>
    <row r="219" spans="2:3" x14ac:dyDescent="0.2">
      <c r="B219" s="1" t="s">
        <v>1093</v>
      </c>
      <c r="C219" s="1">
        <v>0</v>
      </c>
    </row>
    <row r="220" spans="2:3" x14ac:dyDescent="0.2">
      <c r="B220" s="1" t="s">
        <v>1094</v>
      </c>
      <c r="C220" s="1">
        <v>0</v>
      </c>
    </row>
    <row r="221" spans="2:3" x14ac:dyDescent="0.2">
      <c r="B221" s="1" t="s">
        <v>1095</v>
      </c>
      <c r="C221" s="1">
        <v>0</v>
      </c>
    </row>
    <row r="222" spans="2:3" x14ac:dyDescent="0.2">
      <c r="B222" s="1" t="s">
        <v>1096</v>
      </c>
      <c r="C222" s="1">
        <v>0</v>
      </c>
    </row>
    <row r="223" spans="2:3" x14ac:dyDescent="0.2">
      <c r="B223" s="1" t="s">
        <v>1097</v>
      </c>
      <c r="C223" s="1">
        <v>0</v>
      </c>
    </row>
    <row r="224" spans="2:3" x14ac:dyDescent="0.2">
      <c r="B224" s="1" t="s">
        <v>1098</v>
      </c>
      <c r="C224" s="1">
        <v>0</v>
      </c>
    </row>
    <row r="225" spans="2:3" x14ac:dyDescent="0.2">
      <c r="B225" s="1" t="s">
        <v>1099</v>
      </c>
      <c r="C225" s="1">
        <v>0</v>
      </c>
    </row>
    <row r="226" spans="2:3" x14ac:dyDescent="0.2">
      <c r="B226" s="1" t="s">
        <v>745</v>
      </c>
      <c r="C226" s="1">
        <v>0</v>
      </c>
    </row>
    <row r="227" spans="2:3" x14ac:dyDescent="0.2">
      <c r="B227" s="1" t="s">
        <v>1100</v>
      </c>
      <c r="C227" s="1">
        <v>0</v>
      </c>
    </row>
    <row r="228" spans="2:3" x14ac:dyDescent="0.2">
      <c r="B228" s="1" t="s">
        <v>1101</v>
      </c>
      <c r="C228" s="1">
        <v>0</v>
      </c>
    </row>
    <row r="229" spans="2:3" x14ac:dyDescent="0.2">
      <c r="B229" s="1" t="s">
        <v>1102</v>
      </c>
      <c r="C229" s="1">
        <v>0</v>
      </c>
    </row>
    <row r="230" spans="2:3" x14ac:dyDescent="0.2">
      <c r="B230" s="1" t="s">
        <v>1103</v>
      </c>
      <c r="C230" s="1">
        <v>0</v>
      </c>
    </row>
    <row r="231" spans="2:3" x14ac:dyDescent="0.2">
      <c r="B231" s="1" t="s">
        <v>1104</v>
      </c>
      <c r="C231" s="1">
        <v>0</v>
      </c>
    </row>
    <row r="232" spans="2:3" x14ac:dyDescent="0.2">
      <c r="B232" s="1" t="s">
        <v>269</v>
      </c>
      <c r="C232" s="1">
        <v>0</v>
      </c>
    </row>
    <row r="233" spans="2:3" x14ac:dyDescent="0.2">
      <c r="B233" s="1" t="s">
        <v>1105</v>
      </c>
      <c r="C233" s="1">
        <v>0</v>
      </c>
    </row>
    <row r="234" spans="2:3" x14ac:dyDescent="0.2">
      <c r="B234" s="1" t="s">
        <v>229</v>
      </c>
      <c r="C234" s="1">
        <v>0</v>
      </c>
    </row>
    <row r="235" spans="2:3" x14ac:dyDescent="0.2">
      <c r="B235" s="1" t="s">
        <v>1106</v>
      </c>
      <c r="C235" s="1">
        <v>0</v>
      </c>
    </row>
    <row r="236" spans="2:3" x14ac:dyDescent="0.2">
      <c r="B236" s="1" t="s">
        <v>1107</v>
      </c>
      <c r="C236" s="1">
        <v>0</v>
      </c>
    </row>
    <row r="237" spans="2:3" x14ac:dyDescent="0.2">
      <c r="B237" s="1" t="s">
        <v>1108</v>
      </c>
      <c r="C237" s="1">
        <v>0</v>
      </c>
    </row>
    <row r="238" spans="2:3" x14ac:dyDescent="0.2">
      <c r="B238" s="1" t="s">
        <v>1109</v>
      </c>
      <c r="C238" s="1">
        <v>0</v>
      </c>
    </row>
    <row r="239" spans="2:3" x14ac:dyDescent="0.2">
      <c r="B239" s="1" t="s">
        <v>763</v>
      </c>
      <c r="C239" s="1">
        <v>0</v>
      </c>
    </row>
    <row r="240" spans="2:3" x14ac:dyDescent="0.2">
      <c r="B240" s="1" t="s">
        <v>1110</v>
      </c>
      <c r="C240" s="1">
        <v>0</v>
      </c>
    </row>
    <row r="241" spans="2:3" x14ac:dyDescent="0.2">
      <c r="B241" s="1" t="s">
        <v>1111</v>
      </c>
      <c r="C241" s="1">
        <v>0</v>
      </c>
    </row>
    <row r="242" spans="2:3" x14ac:dyDescent="0.2">
      <c r="B242" s="1" t="s">
        <v>1112</v>
      </c>
      <c r="C242" s="1">
        <v>0</v>
      </c>
    </row>
    <row r="243" spans="2:3" x14ac:dyDescent="0.2">
      <c r="B243" s="1" t="s">
        <v>1113</v>
      </c>
      <c r="C243" s="1">
        <v>0</v>
      </c>
    </row>
    <row r="244" spans="2:3" x14ac:dyDescent="0.2">
      <c r="B244" s="1" t="s">
        <v>1114</v>
      </c>
      <c r="C244" s="1">
        <v>0</v>
      </c>
    </row>
    <row r="245" spans="2:3" x14ac:dyDescent="0.2">
      <c r="B245" s="1" t="s">
        <v>1115</v>
      </c>
      <c r="C245" s="1">
        <v>0</v>
      </c>
    </row>
    <row r="246" spans="2:3" x14ac:dyDescent="0.2">
      <c r="B246" s="1" t="s">
        <v>768</v>
      </c>
      <c r="C246" s="1">
        <v>0</v>
      </c>
    </row>
    <row r="247" spans="2:3" x14ac:dyDescent="0.2">
      <c r="B247" s="1" t="s">
        <v>769</v>
      </c>
      <c r="C247" s="1">
        <v>0</v>
      </c>
    </row>
    <row r="248" spans="2:3" x14ac:dyDescent="0.2">
      <c r="B248" s="1" t="s">
        <v>1116</v>
      </c>
      <c r="C248" s="1">
        <v>0</v>
      </c>
    </row>
    <row r="249" spans="2:3" x14ac:dyDescent="0.2">
      <c r="B249" s="1" t="s">
        <v>148</v>
      </c>
      <c r="C249" s="1">
        <v>0</v>
      </c>
    </row>
    <row r="250" spans="2:3" x14ac:dyDescent="0.2">
      <c r="B250" s="1" t="s">
        <v>1117</v>
      </c>
      <c r="C250" s="1">
        <v>0</v>
      </c>
    </row>
    <row r="251" spans="2:3" x14ac:dyDescent="0.2">
      <c r="B251" s="1" t="s">
        <v>1118</v>
      </c>
      <c r="C251" s="1">
        <v>0</v>
      </c>
    </row>
    <row r="252" spans="2:3" x14ac:dyDescent="0.2">
      <c r="B252" s="1" t="s">
        <v>1119</v>
      </c>
      <c r="C252" s="1">
        <v>0</v>
      </c>
    </row>
    <row r="253" spans="2:3" x14ac:dyDescent="0.2">
      <c r="B253" s="1" t="s">
        <v>1120</v>
      </c>
      <c r="C253" s="1">
        <v>0</v>
      </c>
    </row>
    <row r="254" spans="2:3" x14ac:dyDescent="0.2">
      <c r="B254" s="1" t="s">
        <v>1121</v>
      </c>
      <c r="C254" s="1">
        <v>0</v>
      </c>
    </row>
    <row r="255" spans="2:3" x14ac:dyDescent="0.2">
      <c r="B255" s="1" t="s">
        <v>1122</v>
      </c>
      <c r="C255" s="1">
        <v>0</v>
      </c>
    </row>
    <row r="256" spans="2:3" x14ac:dyDescent="0.2">
      <c r="B256" s="1" t="s">
        <v>1123</v>
      </c>
      <c r="C256" s="1">
        <v>0</v>
      </c>
    </row>
    <row r="257" spans="2:3" x14ac:dyDescent="0.2">
      <c r="B257" s="1" t="s">
        <v>1124</v>
      </c>
      <c r="C257" s="1">
        <v>0</v>
      </c>
    </row>
    <row r="258" spans="2:3" x14ac:dyDescent="0.2">
      <c r="B258" s="1" t="s">
        <v>1125</v>
      </c>
      <c r="C258" s="1">
        <v>0</v>
      </c>
    </row>
    <row r="259" spans="2:3" x14ac:dyDescent="0.2">
      <c r="B259" s="1" t="s">
        <v>276</v>
      </c>
      <c r="C259" s="1">
        <v>0</v>
      </c>
    </row>
    <row r="260" spans="2:3" x14ac:dyDescent="0.2">
      <c r="B260" s="1" t="s">
        <v>1126</v>
      </c>
      <c r="C260" s="1">
        <v>0</v>
      </c>
    </row>
    <row r="261" spans="2:3" x14ac:dyDescent="0.2">
      <c r="B261" s="1" t="s">
        <v>798</v>
      </c>
      <c r="C261" s="1">
        <v>0</v>
      </c>
    </row>
    <row r="262" spans="2:3" x14ac:dyDescent="0.2">
      <c r="B262" s="1" t="s">
        <v>1127</v>
      </c>
      <c r="C262" s="1">
        <v>0</v>
      </c>
    </row>
    <row r="263" spans="2:3" x14ac:dyDescent="0.2">
      <c r="B263" s="1" t="s">
        <v>1128</v>
      </c>
      <c r="C263" s="1">
        <v>0</v>
      </c>
    </row>
    <row r="264" spans="2:3" x14ac:dyDescent="0.2">
      <c r="B264" s="1" t="s">
        <v>1129</v>
      </c>
      <c r="C264" s="1">
        <v>0</v>
      </c>
    </row>
    <row r="265" spans="2:3" x14ac:dyDescent="0.2">
      <c r="B265" s="1" t="s">
        <v>1130</v>
      </c>
      <c r="C265" s="1">
        <v>0</v>
      </c>
    </row>
    <row r="266" spans="2:3" x14ac:dyDescent="0.2">
      <c r="B266" s="1" t="s">
        <v>1131</v>
      </c>
      <c r="C266" s="1">
        <v>0</v>
      </c>
    </row>
    <row r="267" spans="2:3" x14ac:dyDescent="0.2">
      <c r="B267" s="1" t="s">
        <v>808</v>
      </c>
      <c r="C267" s="1">
        <v>0</v>
      </c>
    </row>
    <row r="268" spans="2:3" x14ac:dyDescent="0.2">
      <c r="B268" s="1" t="s">
        <v>1132</v>
      </c>
      <c r="C268" s="1">
        <v>0</v>
      </c>
    </row>
    <row r="269" spans="2:3" x14ac:dyDescent="0.2">
      <c r="B269" s="1" t="s">
        <v>1133</v>
      </c>
      <c r="C269" s="1">
        <v>0</v>
      </c>
    </row>
    <row r="270" spans="2:3" x14ac:dyDescent="0.2">
      <c r="B270" s="1" t="s">
        <v>136</v>
      </c>
      <c r="C270" s="1">
        <v>0</v>
      </c>
    </row>
    <row r="271" spans="2:3" x14ac:dyDescent="0.2">
      <c r="B271" s="1" t="s">
        <v>1134</v>
      </c>
      <c r="C271" s="1">
        <v>0</v>
      </c>
    </row>
    <row r="272" spans="2:3" x14ac:dyDescent="0.2">
      <c r="B272" s="1" t="s">
        <v>1135</v>
      </c>
      <c r="C272" s="1">
        <v>0</v>
      </c>
    </row>
    <row r="273" spans="2:3" x14ac:dyDescent="0.2">
      <c r="B273" s="1" t="s">
        <v>1136</v>
      </c>
      <c r="C273" s="1">
        <v>0</v>
      </c>
    </row>
    <row r="274" spans="2:3" x14ac:dyDescent="0.2">
      <c r="B274" s="1" t="s">
        <v>165</v>
      </c>
      <c r="C274" s="1">
        <v>0</v>
      </c>
    </row>
    <row r="275" spans="2:3" x14ac:dyDescent="0.2">
      <c r="B275" s="1" t="s">
        <v>1137</v>
      </c>
      <c r="C275" s="1">
        <v>0</v>
      </c>
    </row>
    <row r="276" spans="2:3" x14ac:dyDescent="0.2">
      <c r="B276" s="1" t="s">
        <v>1138</v>
      </c>
      <c r="C276" s="1">
        <v>0</v>
      </c>
    </row>
    <row r="277" spans="2:3" x14ac:dyDescent="0.2">
      <c r="B277" s="1" t="s">
        <v>822</v>
      </c>
      <c r="C277" s="1">
        <v>0</v>
      </c>
    </row>
    <row r="278" spans="2:3" x14ac:dyDescent="0.2">
      <c r="B278" s="1" t="s">
        <v>267</v>
      </c>
      <c r="C278" s="1">
        <v>0</v>
      </c>
    </row>
    <row r="279" spans="2:3" x14ac:dyDescent="0.2">
      <c r="B279" s="1" t="s">
        <v>1139</v>
      </c>
      <c r="C279" s="1">
        <v>0</v>
      </c>
    </row>
    <row r="280" spans="2:3" x14ac:dyDescent="0.2">
      <c r="B280" s="1" t="s">
        <v>1140</v>
      </c>
      <c r="C280" s="1">
        <v>0</v>
      </c>
    </row>
    <row r="281" spans="2:3" x14ac:dyDescent="0.2">
      <c r="B281" s="1" t="s">
        <v>1141</v>
      </c>
      <c r="C281" s="1">
        <v>0</v>
      </c>
    </row>
    <row r="282" spans="2:3" x14ac:dyDescent="0.2">
      <c r="B282" s="1" t="s">
        <v>830</v>
      </c>
      <c r="C282" s="1">
        <v>0</v>
      </c>
    </row>
    <row r="283" spans="2:3" x14ac:dyDescent="0.2">
      <c r="B283" s="1" t="s">
        <v>1142</v>
      </c>
      <c r="C283" s="1">
        <v>0</v>
      </c>
    </row>
    <row r="284" spans="2:3" x14ac:dyDescent="0.2">
      <c r="B284" s="1" t="s">
        <v>1143</v>
      </c>
      <c r="C284" s="1">
        <v>0</v>
      </c>
    </row>
    <row r="285" spans="2:3" x14ac:dyDescent="0.2">
      <c r="B285" s="1" t="s">
        <v>1144</v>
      </c>
      <c r="C285" s="1">
        <v>0</v>
      </c>
    </row>
    <row r="286" spans="2:3" x14ac:dyDescent="0.2">
      <c r="B286" s="1" t="s">
        <v>138</v>
      </c>
      <c r="C286" s="1">
        <v>0</v>
      </c>
    </row>
    <row r="287" spans="2:3" x14ac:dyDescent="0.2">
      <c r="B287" s="1" t="s">
        <v>839</v>
      </c>
      <c r="C287" s="1">
        <v>0</v>
      </c>
    </row>
    <row r="288" spans="2:3" x14ac:dyDescent="0.2">
      <c r="B288" s="1" t="s">
        <v>1145</v>
      </c>
      <c r="C288" s="1">
        <v>0</v>
      </c>
    </row>
    <row r="289" spans="2:3" x14ac:dyDescent="0.2">
      <c r="B289" s="1" t="s">
        <v>1146</v>
      </c>
      <c r="C289" s="1">
        <v>0</v>
      </c>
    </row>
    <row r="290" spans="2:3" x14ac:dyDescent="0.2">
      <c r="B290" s="1" t="s">
        <v>1147</v>
      </c>
      <c r="C290" s="1">
        <v>0</v>
      </c>
    </row>
    <row r="291" spans="2:3" x14ac:dyDescent="0.2">
      <c r="B291" s="1" t="s">
        <v>1148</v>
      </c>
      <c r="C291" s="1">
        <v>0</v>
      </c>
    </row>
    <row r="292" spans="2:3" x14ac:dyDescent="0.2">
      <c r="B292" s="1" t="s">
        <v>1149</v>
      </c>
      <c r="C292" s="1">
        <v>0</v>
      </c>
    </row>
    <row r="293" spans="2:3" x14ac:dyDescent="0.2">
      <c r="B293" s="1" t="s">
        <v>239</v>
      </c>
      <c r="C293" s="1">
        <v>0</v>
      </c>
    </row>
    <row r="294" spans="2:3" x14ac:dyDescent="0.2">
      <c r="B294" s="1" t="s">
        <v>192</v>
      </c>
      <c r="C294" s="1">
        <v>0</v>
      </c>
    </row>
    <row r="295" spans="2:3" x14ac:dyDescent="0.2">
      <c r="B295" s="1" t="s">
        <v>1150</v>
      </c>
      <c r="C295" s="1">
        <v>0</v>
      </c>
    </row>
    <row r="296" spans="2:3" x14ac:dyDescent="0.2">
      <c r="B296" s="1" t="s">
        <v>154</v>
      </c>
      <c r="C296" s="1">
        <v>0</v>
      </c>
    </row>
    <row r="297" spans="2:3" x14ac:dyDescent="0.2">
      <c r="B297" s="1" t="s">
        <v>1151</v>
      </c>
      <c r="C297" s="1">
        <v>0</v>
      </c>
    </row>
    <row r="298" spans="2:3" x14ac:dyDescent="0.2">
      <c r="B298" s="1" t="s">
        <v>1152</v>
      </c>
      <c r="C298" s="1">
        <v>0</v>
      </c>
    </row>
    <row r="299" spans="2:3" x14ac:dyDescent="0.2">
      <c r="B299" s="1" t="s">
        <v>1153</v>
      </c>
      <c r="C299" s="1">
        <v>0</v>
      </c>
    </row>
    <row r="300" spans="2:3" x14ac:dyDescent="0.2">
      <c r="B300" s="1" t="s">
        <v>1154</v>
      </c>
      <c r="C300" s="1">
        <v>0</v>
      </c>
    </row>
    <row r="301" spans="2:3" x14ac:dyDescent="0.2">
      <c r="B301" s="1" t="s">
        <v>1155</v>
      </c>
      <c r="C301" s="1">
        <v>0</v>
      </c>
    </row>
    <row r="302" spans="2:3" x14ac:dyDescent="0.2">
      <c r="B302" s="1" t="s">
        <v>244</v>
      </c>
      <c r="C302" s="1">
        <v>0</v>
      </c>
    </row>
    <row r="303" spans="2:3" x14ac:dyDescent="0.2">
      <c r="B303" s="1" t="s">
        <v>1156</v>
      </c>
      <c r="C303" s="1">
        <v>0</v>
      </c>
    </row>
    <row r="304" spans="2:3" x14ac:dyDescent="0.2">
      <c r="B304" s="1" t="s">
        <v>1157</v>
      </c>
      <c r="C304" s="1">
        <v>0</v>
      </c>
    </row>
    <row r="305" spans="2:3" x14ac:dyDescent="0.2">
      <c r="B305" s="1" t="s">
        <v>1158</v>
      </c>
      <c r="C305" s="1">
        <v>0</v>
      </c>
    </row>
    <row r="306" spans="2:3" x14ac:dyDescent="0.2">
      <c r="B306" s="1" t="s">
        <v>1159</v>
      </c>
      <c r="C306" s="1">
        <v>0</v>
      </c>
    </row>
    <row r="307" spans="2:3" x14ac:dyDescent="0.2">
      <c r="B307" s="1" t="s">
        <v>1160</v>
      </c>
      <c r="C307" s="1">
        <v>0</v>
      </c>
    </row>
    <row r="308" spans="2:3" x14ac:dyDescent="0.2">
      <c r="B308" s="1" t="s">
        <v>880</v>
      </c>
      <c r="C308" s="1">
        <v>0</v>
      </c>
    </row>
    <row r="309" spans="2:3" x14ac:dyDescent="0.2">
      <c r="B309" s="1" t="s">
        <v>1161</v>
      </c>
      <c r="C309" s="1">
        <v>0</v>
      </c>
    </row>
    <row r="310" spans="2:3" x14ac:dyDescent="0.2">
      <c r="B310" s="1" t="s">
        <v>1162</v>
      </c>
      <c r="C310" s="1">
        <v>0</v>
      </c>
    </row>
    <row r="311" spans="2:3" x14ac:dyDescent="0.2">
      <c r="B311" s="1" t="s">
        <v>284</v>
      </c>
      <c r="C311" s="1">
        <v>0</v>
      </c>
    </row>
    <row r="312" spans="2:3" x14ac:dyDescent="0.2">
      <c r="B312" s="1" t="s">
        <v>1163</v>
      </c>
      <c r="C312" s="1">
        <v>0</v>
      </c>
    </row>
    <row r="313" spans="2:3" x14ac:dyDescent="0.2">
      <c r="B313" s="1" t="s">
        <v>141</v>
      </c>
      <c r="C313" s="1">
        <v>0</v>
      </c>
    </row>
    <row r="314" spans="2:3" x14ac:dyDescent="0.2">
      <c r="B314" s="1" t="s">
        <v>1164</v>
      </c>
      <c r="C314" s="1">
        <v>0</v>
      </c>
    </row>
    <row r="315" spans="2:3" x14ac:dyDescent="0.2">
      <c r="B315" s="1" t="s">
        <v>1165</v>
      </c>
      <c r="C315" s="1">
        <v>0</v>
      </c>
    </row>
    <row r="316" spans="2:3" x14ac:dyDescent="0.2">
      <c r="B316" s="1" t="s">
        <v>1166</v>
      </c>
      <c r="C316" s="1">
        <v>0</v>
      </c>
    </row>
    <row r="317" spans="2:3" x14ac:dyDescent="0.2">
      <c r="B317" s="1" t="s">
        <v>242</v>
      </c>
      <c r="C317" s="1">
        <v>0</v>
      </c>
    </row>
    <row r="318" spans="2:3" x14ac:dyDescent="0.2">
      <c r="B318" s="1" t="s">
        <v>1167</v>
      </c>
      <c r="C318" s="1">
        <v>0</v>
      </c>
    </row>
    <row r="319" spans="2:3" x14ac:dyDescent="0.2">
      <c r="B319" s="1" t="s">
        <v>1168</v>
      </c>
      <c r="C319" s="1">
        <v>0</v>
      </c>
    </row>
    <row r="320" spans="2:3" x14ac:dyDescent="0.2">
      <c r="B320" s="1" t="s">
        <v>1169</v>
      </c>
      <c r="C320" s="1">
        <v>0</v>
      </c>
    </row>
    <row r="321" spans="2:3" x14ac:dyDescent="0.2">
      <c r="B321" s="1" t="s">
        <v>1170</v>
      </c>
      <c r="C321" s="1">
        <v>0</v>
      </c>
    </row>
    <row r="322" spans="2:3" x14ac:dyDescent="0.2">
      <c r="B322" s="1" t="s">
        <v>1171</v>
      </c>
      <c r="C322" s="1">
        <v>0</v>
      </c>
    </row>
    <row r="323" spans="2:3" x14ac:dyDescent="0.2">
      <c r="B323" s="1" t="s">
        <v>1172</v>
      </c>
      <c r="C323" s="1">
        <v>0</v>
      </c>
    </row>
    <row r="324" spans="2:3" x14ac:dyDescent="0.2">
      <c r="B324" s="1" t="s">
        <v>902</v>
      </c>
      <c r="C324" s="1">
        <v>0</v>
      </c>
    </row>
    <row r="325" spans="2:3" x14ac:dyDescent="0.2">
      <c r="B325" s="1" t="s">
        <v>1173</v>
      </c>
      <c r="C325" s="1">
        <v>0</v>
      </c>
    </row>
    <row r="326" spans="2:3" x14ac:dyDescent="0.2">
      <c r="B326" s="1" t="s">
        <v>1174</v>
      </c>
      <c r="C326" s="1">
        <v>0</v>
      </c>
    </row>
    <row r="327" spans="2:3" x14ac:dyDescent="0.2">
      <c r="B327" s="1" t="s">
        <v>1175</v>
      </c>
      <c r="C327" s="1">
        <v>0</v>
      </c>
    </row>
    <row r="328" spans="2:3" x14ac:dyDescent="0.2">
      <c r="B328" s="1" t="s">
        <v>1176</v>
      </c>
      <c r="C328" s="1">
        <v>0</v>
      </c>
    </row>
    <row r="329" spans="2:3" x14ac:dyDescent="0.2">
      <c r="B329" s="1" t="s">
        <v>1177</v>
      </c>
      <c r="C329" s="1">
        <v>0</v>
      </c>
    </row>
    <row r="330" spans="2:3" x14ac:dyDescent="0.2">
      <c r="B330" s="1" t="s">
        <v>1178</v>
      </c>
      <c r="C330" s="1">
        <v>0</v>
      </c>
    </row>
    <row r="331" spans="2:3" x14ac:dyDescent="0.2">
      <c r="B331" s="1" t="s">
        <v>1179</v>
      </c>
      <c r="C331" s="1">
        <v>0</v>
      </c>
    </row>
    <row r="332" spans="2:3" x14ac:dyDescent="0.2">
      <c r="B332" s="1" t="s">
        <v>1180</v>
      </c>
      <c r="C332" s="1">
        <v>0</v>
      </c>
    </row>
    <row r="333" spans="2:3" x14ac:dyDescent="0.2">
      <c r="B333" s="1" t="s">
        <v>1181</v>
      </c>
      <c r="C333" s="1">
        <v>0</v>
      </c>
    </row>
    <row r="334" spans="2:3" x14ac:dyDescent="0.2">
      <c r="B334" s="1" t="s">
        <v>1182</v>
      </c>
      <c r="C334" s="1">
        <v>0</v>
      </c>
    </row>
    <row r="335" spans="2:3" x14ac:dyDescent="0.2">
      <c r="B335" s="1" t="s">
        <v>913</v>
      </c>
      <c r="C335" s="1">
        <v>0</v>
      </c>
    </row>
    <row r="336" spans="2:3" x14ac:dyDescent="0.2">
      <c r="B336" s="1" t="s">
        <v>1183</v>
      </c>
      <c r="C336" s="1">
        <v>0</v>
      </c>
    </row>
    <row r="337" spans="2:3" x14ac:dyDescent="0.2">
      <c r="B337" s="1" t="s">
        <v>251</v>
      </c>
      <c r="C337" s="1">
        <v>0</v>
      </c>
    </row>
    <row r="338" spans="2:3" x14ac:dyDescent="0.2">
      <c r="B338" s="1" t="s">
        <v>1184</v>
      </c>
      <c r="C338" s="1">
        <v>0</v>
      </c>
    </row>
    <row r="339" spans="2:3" x14ac:dyDescent="0.2">
      <c r="B339" s="1" t="s">
        <v>1185</v>
      </c>
      <c r="C339" s="1">
        <v>0</v>
      </c>
    </row>
    <row r="340" spans="2:3" x14ac:dyDescent="0.2">
      <c r="B340" s="1" t="s">
        <v>1186</v>
      </c>
      <c r="C340" s="1">
        <v>0</v>
      </c>
    </row>
    <row r="341" spans="2:3" x14ac:dyDescent="0.2">
      <c r="B341" s="1" t="s">
        <v>184</v>
      </c>
      <c r="C341" s="1">
        <v>0</v>
      </c>
    </row>
    <row r="342" spans="2:3" x14ac:dyDescent="0.2">
      <c r="B342" s="1" t="s">
        <v>1187</v>
      </c>
      <c r="C342" s="1">
        <v>0</v>
      </c>
    </row>
    <row r="343" spans="2:3" x14ac:dyDescent="0.2">
      <c r="B343" s="1" t="s">
        <v>1188</v>
      </c>
      <c r="C343" s="1">
        <v>0</v>
      </c>
    </row>
    <row r="344" spans="2:3" x14ac:dyDescent="0.2">
      <c r="B344" s="1" t="s">
        <v>190</v>
      </c>
      <c r="C344" s="1">
        <v>0</v>
      </c>
    </row>
    <row r="345" spans="2:3" x14ac:dyDescent="0.2">
      <c r="B345" s="1" t="s">
        <v>1189</v>
      </c>
      <c r="C345" s="1">
        <v>0</v>
      </c>
    </row>
    <row r="346" spans="2:3" x14ac:dyDescent="0.2">
      <c r="B346" s="1" t="s">
        <v>1190</v>
      </c>
      <c r="C346" s="1">
        <v>0</v>
      </c>
    </row>
    <row r="347" spans="2:3" x14ac:dyDescent="0.2">
      <c r="B347" s="1" t="s">
        <v>1191</v>
      </c>
      <c r="C347" s="1">
        <v>0</v>
      </c>
    </row>
    <row r="348" spans="2:3" x14ac:dyDescent="0.2">
      <c r="B348" s="1" t="s">
        <v>1192</v>
      </c>
      <c r="C348" s="1">
        <v>0</v>
      </c>
    </row>
    <row r="349" spans="2:3" x14ac:dyDescent="0.2">
      <c r="B349" s="1" t="s">
        <v>1193</v>
      </c>
      <c r="C349" s="1">
        <v>0</v>
      </c>
    </row>
    <row r="350" spans="2:3" x14ac:dyDescent="0.2">
      <c r="B350" s="1" t="s">
        <v>1194</v>
      </c>
      <c r="C350" s="1">
        <v>0</v>
      </c>
    </row>
    <row r="351" spans="2:3" x14ac:dyDescent="0.2">
      <c r="B351" s="1" t="s">
        <v>1195</v>
      </c>
      <c r="C351" s="1">
        <v>0</v>
      </c>
    </row>
    <row r="352" spans="2:3" x14ac:dyDescent="0.2">
      <c r="B352" s="1" t="s">
        <v>1196</v>
      </c>
      <c r="C352" s="1">
        <v>0</v>
      </c>
    </row>
    <row r="353" spans="2:3" x14ac:dyDescent="0.2">
      <c r="B353" s="1" t="s">
        <v>1197</v>
      </c>
      <c r="C353" s="1">
        <v>0</v>
      </c>
    </row>
    <row r="354" spans="2:3" x14ac:dyDescent="0.2">
      <c r="B354" s="1" t="s">
        <v>1198</v>
      </c>
      <c r="C354" s="1">
        <v>0</v>
      </c>
    </row>
    <row r="355" spans="2:3" x14ac:dyDescent="0.2">
      <c r="B355" s="1" t="s">
        <v>175</v>
      </c>
      <c r="C355" s="1">
        <v>0</v>
      </c>
    </row>
    <row r="356" spans="2:3" x14ac:dyDescent="0.2">
      <c r="B356" s="1" t="s">
        <v>147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36</vt:i4>
      </vt:variant>
    </vt:vector>
  </HeadingPairs>
  <TitlesOfParts>
    <vt:vector size="54" baseType="lpstr">
      <vt:lpstr>FORMULAS</vt:lpstr>
      <vt:lpstr>RATES_MACRO</vt:lpstr>
      <vt:lpstr>Binance</vt:lpstr>
      <vt:lpstr>Bitfinex</vt:lpstr>
      <vt:lpstr>Bitstamp</vt:lpstr>
      <vt:lpstr>BitVavo</vt:lpstr>
      <vt:lpstr>Bittrex</vt:lpstr>
      <vt:lpstr>Bybit</vt:lpstr>
      <vt:lpstr>Coinbase</vt:lpstr>
      <vt:lpstr>CoinbasePro</vt:lpstr>
      <vt:lpstr>Coinone</vt:lpstr>
      <vt:lpstr>Coinspot</vt:lpstr>
      <vt:lpstr>HitBTC</vt:lpstr>
      <vt:lpstr>Huobi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BitVavo!apikey_bitvavo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apikey_huobi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BitVavo!secretkey_bitvavo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secretkey_huobi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2021-06-29T11:53:14Z</dcterms:modified>
</cp:coreProperties>
</file>