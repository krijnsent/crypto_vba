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xr:revisionPtr revIDLastSave="0" documentId="13_ncr:1_{730A14F7-FB2A-473F-801F-F9C827A3986D}" xr6:coauthVersionLast="43" xr6:coauthVersionMax="43" xr10:uidLastSave="{00000000-0000-0000-0000-000000000000}"/>
  <bookViews>
    <workbookView xWindow="-108" yWindow="-108" windowWidth="23256" windowHeight="12576" tabRatio="669" xr2:uid="{00000000-000D-0000-FFFF-FFFF00000000}"/>
  </bookViews>
  <sheets>
    <sheet name="FORMULAS" sheetId="9" r:id="rId1"/>
    <sheet name="RATES_MACRO" sheetId="11" r:id="rId2"/>
    <sheet name="Binance" sheetId="8" r:id="rId3"/>
    <sheet name="Bitfinex" sheetId="12" r:id="rId4"/>
    <sheet name="Bitstamp" sheetId="15" r:id="rId5"/>
    <sheet name="Bittrex" sheetId="3" r:id="rId6"/>
    <sheet name="Coinbase" sheetId="16" r:id="rId7"/>
    <sheet name="CoinbasePro" sheetId="17" r:id="rId8"/>
    <sheet name="Coinone" sheetId="6" r:id="rId9"/>
    <sheet name="Coinspot" sheetId="13" r:id="rId10"/>
    <sheet name="HitBTC" sheetId="14" r:id="rId11"/>
    <sheet name="Kraken" sheetId="1" r:id="rId12"/>
    <sheet name="Kucoin" sheetId="10" r:id="rId13"/>
    <sheet name="Poloniex" sheetId="4" r:id="rId14"/>
  </sheets>
  <functionGroups builtInGroupCount="19"/>
  <definedNames>
    <definedName name="apikey_binance">Binance!$C$6</definedName>
    <definedName name="apikey_bitfinex">Bitfinex!$C$6</definedName>
    <definedName name="apikey_bitstamp">Bitstamp!$C$6</definedName>
    <definedName name="apikey_bittrex">Bittrex!$C$6</definedName>
    <definedName name="apikey_btce" localSheetId="7">#REF!</definedName>
    <definedName name="apikey_btce">#REF!</definedName>
    <definedName name="apikey_coinbase">Coinbase!$C$6</definedName>
    <definedName name="apikey_coinbase_pro">CoinbasePro!$C$6</definedName>
    <definedName name="apikey_coinone">Coinone!$C$6</definedName>
    <definedName name="apikey_coinspot">Coinspot!$C$6</definedName>
    <definedName name="apikey_cryptopia">#REF!</definedName>
    <definedName name="apikey_hitbtc">HitBTC!$C$6</definedName>
    <definedName name="apikey_kraken">Kraken!$C$6</definedName>
    <definedName name="apikey_kucoin">Kucoin!$C$6</definedName>
    <definedName name="apikey_poloniex">Poloniex!$C$6</definedName>
    <definedName name="apikey_wexnz" localSheetId="7">#REF!</definedName>
    <definedName name="apikey_wexnz">#REF!</definedName>
    <definedName name="customer_id_bitstamp">Bitstamp!$C$8</definedName>
    <definedName name="passphrase_coinbase_pro">CoinbasePro!$C$8</definedName>
    <definedName name="passphrase_kucoin">Kucoin!$C$8</definedName>
    <definedName name="secretkey_binance">Binance!$C$7</definedName>
    <definedName name="secretkey_bitfinex">Bitfinex!$C$7</definedName>
    <definedName name="secretkey_bitstamp">Bitstamp!$C$7</definedName>
    <definedName name="secretkey_bittrex">Bittrex!$C$7</definedName>
    <definedName name="secretkey_btce" localSheetId="7">#REF!</definedName>
    <definedName name="secretkey_btce">#REF!</definedName>
    <definedName name="secretkey_coinbase">Coinbase!$C$7</definedName>
    <definedName name="secretkey_coinbase_pro">CoinbasePro!$C$7</definedName>
    <definedName name="secretkey_coinone">Coinone!$C$7</definedName>
    <definedName name="secretkey_coinspot">Coinspot!$C$7</definedName>
    <definedName name="secretkey_cryptopia">#REF!</definedName>
    <definedName name="secretkey_hitbtc">HitBTC!$C$7</definedName>
    <definedName name="secretkey_kraken">Kraken!$C$7</definedName>
    <definedName name="secretkey_kucoin">Kucoin!$C$7</definedName>
    <definedName name="secretkey_poloniex">Poloniex!$C$7</definedName>
    <definedName name="secretkey_wexnz" localSheetId="7">#REF!</definedName>
    <definedName name="secretkey_wexn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5" i="8" l="1"/>
  <c r="F25" i="8"/>
  <c r="D16" i="9"/>
  <c r="D30" i="9"/>
  <c r="D59" i="9" a="1"/>
  <c r="D17" i="9"/>
  <c r="D29" i="9"/>
  <c r="D41" i="9"/>
  <c r="D42" i="9"/>
  <c r="D18" i="9"/>
  <c r="D72" i="9" a="1"/>
  <c r="D72" i="9" l="1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D101" i="9"/>
  <c r="H101" i="9"/>
  <c r="D102" i="9"/>
  <c r="H102" i="9"/>
  <c r="D103" i="9"/>
  <c r="H103" i="9"/>
  <c r="D104" i="9"/>
  <c r="H104" i="9"/>
  <c r="D105" i="9"/>
  <c r="H105" i="9"/>
  <c r="D106" i="9"/>
  <c r="H106" i="9"/>
  <c r="D107" i="9"/>
  <c r="H107" i="9"/>
  <c r="D108" i="9"/>
  <c r="H108" i="9"/>
  <c r="D109" i="9"/>
  <c r="H109" i="9"/>
  <c r="D110" i="9"/>
  <c r="H110" i="9"/>
  <c r="D111" i="9"/>
  <c r="H111" i="9"/>
  <c r="D112" i="9"/>
  <c r="H112" i="9"/>
  <c r="D113" i="9"/>
  <c r="H113" i="9"/>
  <c r="D114" i="9"/>
  <c r="E72" i="9"/>
  <c r="I72" i="9"/>
  <c r="E73" i="9"/>
  <c r="I73" i="9"/>
  <c r="E74" i="9"/>
  <c r="I74" i="9"/>
  <c r="E75" i="9"/>
  <c r="I75" i="9"/>
  <c r="E76" i="9"/>
  <c r="I76" i="9"/>
  <c r="E77" i="9"/>
  <c r="I77" i="9"/>
  <c r="E78" i="9"/>
  <c r="I78" i="9"/>
  <c r="E79" i="9"/>
  <c r="I79" i="9"/>
  <c r="E80" i="9"/>
  <c r="I80" i="9"/>
  <c r="E81" i="9"/>
  <c r="I81" i="9"/>
  <c r="E82" i="9"/>
  <c r="I82" i="9"/>
  <c r="E83" i="9"/>
  <c r="I83" i="9"/>
  <c r="E84" i="9"/>
  <c r="I84" i="9"/>
  <c r="E85" i="9"/>
  <c r="I85" i="9"/>
  <c r="E86" i="9"/>
  <c r="I86" i="9"/>
  <c r="E87" i="9"/>
  <c r="I87" i="9"/>
  <c r="E88" i="9"/>
  <c r="I88" i="9"/>
  <c r="E89" i="9"/>
  <c r="I89" i="9"/>
  <c r="E90" i="9"/>
  <c r="I90" i="9"/>
  <c r="E91" i="9"/>
  <c r="I91" i="9"/>
  <c r="E92" i="9"/>
  <c r="I92" i="9"/>
  <c r="E93" i="9"/>
  <c r="I93" i="9"/>
  <c r="E94" i="9"/>
  <c r="I94" i="9"/>
  <c r="E95" i="9"/>
  <c r="I95" i="9"/>
  <c r="E96" i="9"/>
  <c r="I96" i="9"/>
  <c r="E97" i="9"/>
  <c r="I97" i="9"/>
  <c r="E98" i="9"/>
  <c r="I98" i="9"/>
  <c r="E99" i="9"/>
  <c r="I99" i="9"/>
  <c r="E100" i="9"/>
  <c r="I100" i="9"/>
  <c r="E101" i="9"/>
  <c r="I101" i="9"/>
  <c r="E102" i="9"/>
  <c r="I102" i="9"/>
  <c r="E103" i="9"/>
  <c r="I103" i="9"/>
  <c r="E104" i="9"/>
  <c r="I104" i="9"/>
  <c r="E105" i="9"/>
  <c r="I105" i="9"/>
  <c r="E106" i="9"/>
  <c r="I106" i="9"/>
  <c r="E107" i="9"/>
  <c r="I107" i="9"/>
  <c r="E108" i="9"/>
  <c r="I108" i="9"/>
  <c r="E109" i="9"/>
  <c r="I109" i="9"/>
  <c r="E110" i="9"/>
  <c r="I110" i="9"/>
  <c r="E111" i="9"/>
  <c r="I111" i="9"/>
  <c r="E112" i="9"/>
  <c r="I112" i="9"/>
  <c r="E113" i="9"/>
  <c r="I113" i="9"/>
  <c r="E114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J114" i="9"/>
  <c r="F115" i="9"/>
  <c r="J115" i="9"/>
  <c r="F116" i="9"/>
  <c r="J116" i="9"/>
  <c r="F117" i="9"/>
  <c r="J117" i="9"/>
  <c r="F118" i="9"/>
  <c r="J118" i="9"/>
  <c r="F119" i="9"/>
  <c r="J119" i="9"/>
  <c r="F120" i="9"/>
  <c r="J120" i="9"/>
  <c r="K74" i="9"/>
  <c r="K89" i="9"/>
  <c r="K94" i="9"/>
  <c r="K99" i="9"/>
  <c r="K102" i="9"/>
  <c r="K105" i="9"/>
  <c r="K108" i="9"/>
  <c r="K111" i="9"/>
  <c r="I114" i="9"/>
  <c r="E116" i="9"/>
  <c r="I117" i="9"/>
  <c r="E119" i="9"/>
  <c r="I120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K114" i="9"/>
  <c r="G115" i="9"/>
  <c r="K115" i="9"/>
  <c r="G116" i="9"/>
  <c r="K116" i="9"/>
  <c r="G117" i="9"/>
  <c r="K117" i="9"/>
  <c r="G118" i="9"/>
  <c r="K118" i="9"/>
  <c r="G119" i="9"/>
  <c r="K119" i="9"/>
  <c r="G120" i="9"/>
  <c r="K120" i="9"/>
  <c r="D118" i="9"/>
  <c r="D119" i="9"/>
  <c r="D120" i="9"/>
  <c r="K73" i="9"/>
  <c r="K75" i="9"/>
  <c r="K77" i="9"/>
  <c r="K79" i="9"/>
  <c r="K81" i="9"/>
  <c r="K83" i="9"/>
  <c r="K85" i="9"/>
  <c r="K87" i="9"/>
  <c r="K88" i="9"/>
  <c r="K91" i="9"/>
  <c r="K92" i="9"/>
  <c r="K96" i="9"/>
  <c r="K98" i="9"/>
  <c r="K101" i="9"/>
  <c r="K103" i="9"/>
  <c r="K106" i="9"/>
  <c r="K109" i="9"/>
  <c r="K112" i="9"/>
  <c r="E115" i="9"/>
  <c r="I116" i="9"/>
  <c r="E118" i="9"/>
  <c r="I119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H114" i="9"/>
  <c r="D115" i="9"/>
  <c r="H115" i="9"/>
  <c r="D116" i="9"/>
  <c r="H116" i="9"/>
  <c r="D117" i="9"/>
  <c r="H117" i="9"/>
  <c r="H118" i="9"/>
  <c r="H119" i="9"/>
  <c r="H120" i="9"/>
  <c r="K72" i="9"/>
  <c r="K76" i="9"/>
  <c r="K78" i="9"/>
  <c r="K80" i="9"/>
  <c r="K82" i="9"/>
  <c r="K84" i="9"/>
  <c r="K86" i="9"/>
  <c r="K90" i="9"/>
  <c r="K93" i="9"/>
  <c r="K95" i="9"/>
  <c r="K97" i="9"/>
  <c r="K100" i="9"/>
  <c r="K104" i="9"/>
  <c r="K107" i="9"/>
  <c r="K110" i="9"/>
  <c r="K113" i="9"/>
  <c r="I115" i="9"/>
  <c r="E117" i="9"/>
  <c r="I118" i="9"/>
  <c r="E120" i="9"/>
  <c r="D60" i="9"/>
  <c r="E65" i="9"/>
  <c r="F60" i="9"/>
  <c r="F59" i="9"/>
  <c r="D59" i="9"/>
  <c r="E64" i="9"/>
  <c r="F69" i="9"/>
  <c r="E67" i="9"/>
  <c r="D69" i="9"/>
  <c r="E61" i="9"/>
  <c r="F66" i="9"/>
  <c r="E63" i="9"/>
  <c r="E62" i="9"/>
  <c r="E60" i="9"/>
  <c r="F65" i="9"/>
  <c r="E59" i="9"/>
  <c r="D61" i="9"/>
  <c r="F62" i="9"/>
  <c r="D68" i="9"/>
  <c r="D66" i="9"/>
  <c r="D65" i="9"/>
  <c r="F61" i="9"/>
  <c r="D67" i="9"/>
  <c r="D62" i="9"/>
  <c r="F63" i="9"/>
  <c r="D64" i="9"/>
  <c r="D63" i="9"/>
  <c r="E69" i="9"/>
  <c r="E68" i="9"/>
  <c r="F67" i="9"/>
  <c r="E66" i="9"/>
  <c r="F68" i="9"/>
  <c r="F64" i="9"/>
</calcChain>
</file>

<file path=xl/sharedStrings.xml><?xml version="1.0" encoding="utf-8"?>
<sst xmlns="http://schemas.openxmlformats.org/spreadsheetml/2006/main" count="2446" uniqueCount="1245">
  <si>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</si>
  <si>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</si>
  <si>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</si>
  <si>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</si>
  <si>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</si>
  <si>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</si>
  <si>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</si>
  <si>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</si>
  <si>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time</t>
  </si>
  <si>
    <t>type</t>
  </si>
  <si>
    <t>asset</t>
  </si>
  <si>
    <t>amount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</si>
  <si>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</si>
  <si>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</si>
  <si>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</si>
  <si>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</si>
  <si>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</si>
  <si>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</si>
  <si>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</si>
  <si>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</si>
  <si>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</si>
  <si>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</si>
  <si>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</si>
  <si>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</si>
  <si>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high</t>
  </si>
  <si>
    <t>low</t>
  </si>
  <si>
    <t>vol</t>
  </si>
  <si>
    <t>last</t>
  </si>
  <si>
    <t>buy</t>
  </si>
  <si>
    <t>sell</t>
  </si>
  <si>
    <t>apikey_bittrex</t>
  </si>
  <si>
    <t>secretkey_bittrex</t>
  </si>
  <si>
    <t>success</t>
  </si>
  <si>
    <t>message</t>
  </si>
  <si>
    <t>Bid</t>
  </si>
  <si>
    <t>Ask</t>
  </si>
  <si>
    <t>Last</t>
  </si>
  <si>
    <t>Currency</t>
  </si>
  <si>
    <t>BTC</t>
  </si>
  <si>
    <t>Balance</t>
  </si>
  <si>
    <t>Available</t>
  </si>
  <si>
    <t>Pending</t>
  </si>
  <si>
    <t>CryptoAddress</t>
  </si>
  <si>
    <t>apikey_poloniex</t>
  </si>
  <si>
    <t>secretkey_poloniex</t>
  </si>
  <si>
    <t>apikey_coinone</t>
  </si>
  <si>
    <t>secretkey_coinone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</si>
  <si>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</si>
  <si>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</si>
  <si>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</si>
  <si>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</si>
  <si>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</si>
  <si>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</si>
  <si>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</si>
  <si>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</si>
  <si>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</si>
  <si>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</si>
  <si>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</si>
  <si>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asks</t>
  </si>
  <si>
    <t>bids</t>
  </si>
  <si>
    <t>isFrozen</t>
  </si>
  <si>
    <t>seq</t>
  </si>
  <si>
    <t>VAL_1</t>
  </si>
  <si>
    <t>VAL_2</t>
  </si>
  <si>
    <t>exchange</t>
  </si>
  <si>
    <t>Low</t>
  </si>
  <si>
    <t>High</t>
  </si>
  <si>
    <t>Volume</t>
  </si>
  <si>
    <t>BaseVolume</t>
  </si>
  <si>
    <t>trade</t>
  </si>
  <si>
    <t>apikey_kucoin</t>
  </si>
  <si>
    <t>secretkey_kucoin</t>
  </si>
  <si>
    <t>C_LAST_PRICE</t>
  </si>
  <si>
    <t>C_HIST_PRICE</t>
  </si>
  <si>
    <t>C_DAY_AVG_PRICE</t>
  </si>
  <si>
    <t>C_ARR_OHLCV</t>
  </si>
  <si>
    <t>Returns one value, showing the last price of a currency pair.</t>
  </si>
  <si>
    <t>Elements in the function:</t>
  </si>
  <si>
    <t>ETH/EUR</t>
  </si>
  <si>
    <t>Examples:</t>
  </si>
  <si>
    <t>XLM/BTC Kraken</t>
  </si>
  <si>
    <t>BTC/XLM Kraken</t>
  </si>
  <si>
    <t>XMR/EUR 1-1-2018</t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</si>
  <si>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</si>
  <si>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</si>
  <si>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</si>
  <si>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</si>
  <si>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</si>
  <si>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</si>
  <si>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</si>
  <si>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t xml:space="preserve">            options TEOHLCFV:  'T = timestamp (unixtime)    E = normal excel date/time      O = open price      H = high price      L = Low price     C = close price     F = volume From    V = volume to</t>
  </si>
  <si>
    <t>Daily ETH/BTC prices</t>
  </si>
  <si>
    <t>Hourly XLM/BTC prices</t>
  </si>
  <si>
    <t>code</t>
  </si>
  <si>
    <t>data</t>
  </si>
  <si>
    <t>KCS</t>
  </si>
  <si>
    <t>symbol</t>
  </si>
  <si>
    <t>changeRate</t>
  </si>
  <si>
    <t>ZEUR</t>
  </si>
  <si>
    <t>XXBT</t>
  </si>
  <si>
    <t>TFL</t>
  </si>
  <si>
    <t>RESULTS</t>
  </si>
  <si>
    <t>close</t>
  </si>
  <si>
    <t>volumeto</t>
  </si>
  <si>
    <t>ECVF</t>
  </si>
  <si>
    <t>volumefrom</t>
  </si>
  <si>
    <t>Kraken, last 96 hours of 2017</t>
  </si>
  <si>
    <t>aggregated per 2 hours</t>
  </si>
  <si>
    <t>2D</t>
  </si>
  <si>
    <t>GAS</t>
  </si>
  <si>
    <t>passphrase_kucoin</t>
  </si>
  <si>
    <t>changePrice</t>
  </si>
  <si>
    <t>main</t>
  </si>
  <si>
    <t>apikey_bitfinex</t>
  </si>
  <si>
    <t>secretkey_bitfinex</t>
  </si>
  <si>
    <t>apikey_coinspot</t>
  </si>
  <si>
    <t>secretkey_coinspot</t>
  </si>
  <si>
    <t>apikey_bitstamp</t>
  </si>
  <si>
    <t>secretkey_bitstamp</t>
  </si>
  <si>
    <t>customer_id_bitstamp</t>
  </si>
  <si>
    <t>apikey_coinbase</t>
  </si>
  <si>
    <t>secretkey_coinbase</t>
  </si>
  <si>
    <t>passphrase_coinbase_pro</t>
  </si>
  <si>
    <t>apikey_coinbase_pro</t>
  </si>
  <si>
    <t>secretkey_coinbase_pro</t>
  </si>
  <si>
    <t>Binance</t>
  </si>
  <si>
    <t>Find the sample code in the sheet and the code the macro uses in ModExchBinance</t>
  </si>
  <si>
    <t>Historical rates - Cryptocompare</t>
  </si>
  <si>
    <t>TEST STAGE FUNCTIONS - CRYPTOCOMPARE</t>
  </si>
  <si>
    <r>
      <t xml:space="preserve">For details, check the code and/or </t>
    </r>
    <r>
      <rPr>
        <u/>
        <sz val="9"/>
        <color theme="1"/>
        <rFont val="Tahoma"/>
        <family val="2"/>
      </rPr>
      <t>https://min-api.cryptocompare.com/documentation</t>
    </r>
  </si>
  <si>
    <r>
      <rPr>
        <b/>
        <sz val="9"/>
        <color rgb="FFFF0000"/>
        <rFont val="Tahoma"/>
        <family val="2"/>
      </rPr>
      <t xml:space="preserve">WARNING: </t>
    </r>
    <r>
      <rPr>
        <sz val="9"/>
        <color theme="1"/>
        <rFont val="Tahoma"/>
        <family val="2"/>
      </rPr>
      <t>the functions are in test stage and all call the API. If you use over 10 in one workbook and recalculate, the workbook might become slow and</t>
    </r>
    <r>
      <rPr>
        <b/>
        <sz val="9"/>
        <color rgb="FFFF0000"/>
        <rFont val="Tahoma"/>
        <family val="2"/>
      </rPr>
      <t xml:space="preserve"> CRASH.</t>
    </r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</si>
  <si>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</si>
  <si>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r>
      <t xml:space="preserve">CurrBuy </t>
    </r>
    <r>
      <rPr>
        <sz val="9"/>
        <color theme="1"/>
        <rFont val="Tahoma"/>
        <family val="2"/>
      </rPr>
      <t>- the currency you want to buy, e.g. BTC, ETH, LTC</t>
    </r>
  </si>
  <si>
    <r>
      <t xml:space="preserve">CurrSell </t>
    </r>
    <r>
      <rPr>
        <sz val="9"/>
        <color theme="1"/>
        <rFont val="Tahoma"/>
        <family val="2"/>
      </rPr>
      <t>- the currency you want to sell, e.g. USD, EUR, ETH</t>
    </r>
  </si>
  <si>
    <r>
      <t xml:space="preserve">Exchange (optional) </t>
    </r>
    <r>
      <rPr>
        <sz val="9"/>
        <color theme="1"/>
        <rFont val="Tahoma"/>
        <family val="2"/>
      </rPr>
      <t>- cryptocompare will normally give back an aggregate, but you could specify an exchange, e.g. Kraken, Coinbase, Poloniex</t>
    </r>
  </si>
  <si>
    <r>
      <t xml:space="preserve">DatesRates </t>
    </r>
    <r>
      <rPr>
        <sz val="9"/>
        <color theme="1"/>
        <rFont val="Tahoma"/>
        <family val="2"/>
      </rPr>
      <t>- the date of the rates (all in GMT, time is not used)</t>
    </r>
  </si>
  <si>
    <r>
      <t xml:space="preserve">Note: this is an </t>
    </r>
    <r>
      <rPr>
        <b/>
        <sz val="9"/>
        <color theme="1"/>
        <rFont val="Tahoma"/>
        <family val="2"/>
      </rPr>
      <t>ARRAY FUNCTION</t>
    </r>
    <r>
      <rPr>
        <sz val="9"/>
        <color theme="1"/>
        <rFont val="Tahoma"/>
        <family val="2"/>
      </rPr>
      <t>, check out e.g. this site to see how to make &amp; use them (</t>
    </r>
    <r>
      <rPr>
        <b/>
        <sz val="9"/>
        <color theme="1"/>
        <rFont val="Tahoma"/>
        <family val="2"/>
      </rPr>
      <t>CTRL+SHIFT+ENTER</t>
    </r>
    <r>
      <rPr>
        <sz val="9"/>
        <color theme="1"/>
        <rFont val="Tahoma"/>
        <family val="2"/>
      </rPr>
      <t xml:space="preserve"> is key)</t>
    </r>
  </si>
  <si>
    <r>
      <t xml:space="preserve">DayHourMin </t>
    </r>
    <r>
      <rPr>
        <sz val="9"/>
        <color theme="1"/>
        <rFont val="Tahoma"/>
        <family val="2"/>
      </rPr>
      <t>- D for daily, H for hourly, M for minute (only 1 week of data available). To aggregate, use e.g. 10m, 4h or 7d.</t>
    </r>
  </si>
  <si>
    <r>
      <t xml:space="preserve">ReturnColumns </t>
    </r>
    <r>
      <rPr>
        <sz val="9"/>
        <color theme="1"/>
        <rFont val="Tahoma"/>
        <family val="2"/>
      </rPr>
      <t>- the columns you want back, e.g. TECV or ECHL.</t>
    </r>
  </si>
  <si>
    <r>
      <t>NrLines (optional)</t>
    </r>
    <r>
      <rPr>
        <sz val="9"/>
        <color theme="1"/>
        <rFont val="Tahoma"/>
        <family val="2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</si>
  <si>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9"/>
        <color theme="1"/>
        <rFont val="Tahoma"/>
        <family val="2"/>
      </rPr>
      <t>the last time/date in your dataset</t>
    </r>
  </si>
  <si>
    <t>STEP 1: raw JSON data</t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</si>
  <si>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</si>
  <si>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t>STEP 2: use the JsonToArray function to extract the data to a hierarchical structure</t>
  </si>
  <si>
    <t>STEP 3: use the JsonToArray function to extract the data to a hierarchical structure</t>
  </si>
  <si>
    <t>STEP 4: with code, extract the right info and put it in a table</t>
  </si>
  <si>
    <t>{"serverTime":1554407800192}</t>
  </si>
  <si>
    <t>NEO</t>
  </si>
  <si>
    <t>BNB</t>
  </si>
  <si>
    <t>QTUM</t>
  </si>
  <si>
    <t>EOS</t>
  </si>
  <si>
    <t>SNT</t>
  </si>
  <si>
    <t>BNT</t>
  </si>
  <si>
    <t>BCC</t>
  </si>
  <si>
    <t>USDT</t>
  </si>
  <si>
    <t>HSR</t>
  </si>
  <si>
    <t>OAX</t>
  </si>
  <si>
    <t>DNT</t>
  </si>
  <si>
    <t>MCO</t>
  </si>
  <si>
    <t>ICN</t>
  </si>
  <si>
    <t>ZRX</t>
  </si>
  <si>
    <t>OMG</t>
  </si>
  <si>
    <t>WTC</t>
  </si>
  <si>
    <t>YOYO</t>
  </si>
  <si>
    <t>LRC</t>
  </si>
  <si>
    <t>TRX</t>
  </si>
  <si>
    <t>SNGLS</t>
  </si>
  <si>
    <t>STRAT</t>
  </si>
  <si>
    <t>BQX</t>
  </si>
  <si>
    <t>FUN</t>
  </si>
  <si>
    <t>KNC</t>
  </si>
  <si>
    <t>CDT</t>
  </si>
  <si>
    <t>XVG</t>
  </si>
  <si>
    <t>IOTA</t>
  </si>
  <si>
    <t>SNM</t>
  </si>
  <si>
    <t>LINK</t>
  </si>
  <si>
    <t>CVC</t>
  </si>
  <si>
    <t>TNT</t>
  </si>
  <si>
    <t>REP</t>
  </si>
  <si>
    <t>MDA</t>
  </si>
  <si>
    <t>MTL</t>
  </si>
  <si>
    <t>SALT</t>
  </si>
  <si>
    <t>NULS</t>
  </si>
  <si>
    <t>SUB</t>
  </si>
  <si>
    <t>MTH</t>
  </si>
  <si>
    <t>ADX</t>
  </si>
  <si>
    <t>ETC</t>
  </si>
  <si>
    <t>ENG</t>
  </si>
  <si>
    <t>ZEC</t>
  </si>
  <si>
    <t>AST</t>
  </si>
  <si>
    <t>GNT</t>
  </si>
  <si>
    <t>DGD</t>
  </si>
  <si>
    <t>BAT</t>
  </si>
  <si>
    <t>DASH</t>
  </si>
  <si>
    <t>POWR</t>
  </si>
  <si>
    <t>BTG</t>
  </si>
  <si>
    <t>REQ</t>
  </si>
  <si>
    <t>XMR</t>
  </si>
  <si>
    <t>EVX</t>
  </si>
  <si>
    <t>VIB</t>
  </si>
  <si>
    <t>ENJ</t>
  </si>
  <si>
    <t>VEN</t>
  </si>
  <si>
    <t>ARK</t>
  </si>
  <si>
    <t>XRP</t>
  </si>
  <si>
    <t>MOD</t>
  </si>
  <si>
    <t>STORJ</t>
  </si>
  <si>
    <t>KMD</t>
  </si>
  <si>
    <t>RCN</t>
  </si>
  <si>
    <t>EDO</t>
  </si>
  <si>
    <t>DATA</t>
  </si>
  <si>
    <t>DLT</t>
  </si>
  <si>
    <t>MANA</t>
  </si>
  <si>
    <t>PPT</t>
  </si>
  <si>
    <t>RDN</t>
  </si>
  <si>
    <t>GXS</t>
  </si>
  <si>
    <t>AMB</t>
  </si>
  <si>
    <t>ARN</t>
  </si>
  <si>
    <t>BCPT</t>
  </si>
  <si>
    <t>CND</t>
  </si>
  <si>
    <t>GVT</t>
  </si>
  <si>
    <t>POE</t>
  </si>
  <si>
    <t>BTS</t>
  </si>
  <si>
    <t>FUEL</t>
  </si>
  <si>
    <t>XZC</t>
  </si>
  <si>
    <t>QSP</t>
  </si>
  <si>
    <t>LSK</t>
  </si>
  <si>
    <t>BCD</t>
  </si>
  <si>
    <t>TNB</t>
  </si>
  <si>
    <t>ADA</t>
  </si>
  <si>
    <t>LEND</t>
  </si>
  <si>
    <t>XLM</t>
  </si>
  <si>
    <t>CMT</t>
  </si>
  <si>
    <t>WAVES</t>
  </si>
  <si>
    <t>WABI</t>
  </si>
  <si>
    <t>GTO</t>
  </si>
  <si>
    <t>ICX</t>
  </si>
  <si>
    <t>OST</t>
  </si>
  <si>
    <t>ELF</t>
  </si>
  <si>
    <t>AION</t>
  </si>
  <si>
    <t>WINGS</t>
  </si>
  <si>
    <t>BRD</t>
  </si>
  <si>
    <t>NEBL</t>
  </si>
  <si>
    <t>NAV</t>
  </si>
  <si>
    <t>VIBE</t>
  </si>
  <si>
    <t>LUN</t>
  </si>
  <si>
    <t>TRIG</t>
  </si>
  <si>
    <t>APPC</t>
  </si>
  <si>
    <t>CHAT</t>
  </si>
  <si>
    <t>RLC</t>
  </si>
  <si>
    <t>INS</t>
  </si>
  <si>
    <t>PIVX</t>
  </si>
  <si>
    <t>IOST</t>
  </si>
  <si>
    <t>STEEM</t>
  </si>
  <si>
    <t>NANO</t>
  </si>
  <si>
    <t>AE</t>
  </si>
  <si>
    <t>VIA</t>
  </si>
  <si>
    <t>BLZ</t>
  </si>
  <si>
    <t>SYS</t>
  </si>
  <si>
    <t>RPX</t>
  </si>
  <si>
    <t>NCASH</t>
  </si>
  <si>
    <t>POA</t>
  </si>
  <si>
    <t>ONT</t>
  </si>
  <si>
    <t>ZIL</t>
  </si>
  <si>
    <t>STORM</t>
  </si>
  <si>
    <t>XEM</t>
  </si>
  <si>
    <t>WAN</t>
  </si>
  <si>
    <t>WPR</t>
  </si>
  <si>
    <t>QLC</t>
  </si>
  <si>
    <t>GRS</t>
  </si>
  <si>
    <t>CLOAK</t>
  </si>
  <si>
    <t>LOOM</t>
  </si>
  <si>
    <t>BCN</t>
  </si>
  <si>
    <t>TUSD</t>
  </si>
  <si>
    <t>ZEN</t>
  </si>
  <si>
    <t>SKY</t>
  </si>
  <si>
    <t>THETA</t>
  </si>
  <si>
    <t>IOTX</t>
  </si>
  <si>
    <t>QKC</t>
  </si>
  <si>
    <t>AGI</t>
  </si>
  <si>
    <t>NXS</t>
  </si>
  <si>
    <t>SC</t>
  </si>
  <si>
    <t>NPXS</t>
  </si>
  <si>
    <t>NAS</t>
  </si>
  <si>
    <t>MFT</t>
  </si>
  <si>
    <t>DENT</t>
  </si>
  <si>
    <t>ARDR</t>
  </si>
  <si>
    <t>HOT</t>
  </si>
  <si>
    <t>VET</t>
  </si>
  <si>
    <t>DOCK</t>
  </si>
  <si>
    <t>POLY</t>
  </si>
  <si>
    <t>ONG</t>
  </si>
  <si>
    <t>PHX</t>
  </si>
  <si>
    <t>HC</t>
  </si>
  <si>
    <t>GO</t>
  </si>
  <si>
    <t>PAX</t>
  </si>
  <si>
    <t>RVN</t>
  </si>
  <si>
    <t>DCR</t>
  </si>
  <si>
    <t>USDC</t>
  </si>
  <si>
    <t>MITH</t>
  </si>
  <si>
    <t>BCHABC</t>
  </si>
  <si>
    <t>BCHSV</t>
  </si>
  <si>
    <t>REN</t>
  </si>
  <si>
    <t>BTT</t>
  </si>
  <si>
    <t>USDS</t>
  </si>
  <si>
    <t>FET</t>
  </si>
  <si>
    <t>CELR</t>
  </si>
  <si>
    <t>Your timestamp</t>
  </si>
  <si>
    <t>Bitfinex</t>
  </si>
  <si>
    <t>Find the sample code in the sheet and the code the macro uses in ModExchBitfinex</t>
  </si>
  <si>
    <t>period</t>
  </si>
  <si>
    <t>volume</t>
  </si>
  <si>
    <t>Balances</t>
  </si>
  <si>
    <t>[{"period":1,"volume":"32401.24343228"},{"period":7,"volume":"136050.25527683"},{"period":30,"volume":"291461.27729021"}]</t>
  </si>
  <si>
    <t>add</t>
  </si>
  <si>
    <t>atd</t>
  </si>
  <si>
    <t>btc</t>
  </si>
  <si>
    <t>eos</t>
  </si>
  <si>
    <t>currency</t>
  </si>
  <si>
    <t>available</t>
  </si>
  <si>
    <t>timestamp</t>
  </si>
  <si>
    <t>bid</t>
  </si>
  <si>
    <t>vwap</t>
  </si>
  <si>
    <t>ask</t>
  </si>
  <si>
    <t>open</t>
  </si>
  <si>
    <t>bch_available</t>
  </si>
  <si>
    <t>bch_balance</t>
  </si>
  <si>
    <t>bch_reserved</t>
  </si>
  <si>
    <t>bchbtc_fee</t>
  </si>
  <si>
    <t>bcheur_fee</t>
  </si>
  <si>
    <t>bchusd_fee</t>
  </si>
  <si>
    <t>btc_available</t>
  </si>
  <si>
    <t>btc_balance</t>
  </si>
  <si>
    <t>btc_reserved</t>
  </si>
  <si>
    <t>btceur_fee</t>
  </si>
  <si>
    <t>btcusd_fee</t>
  </si>
  <si>
    <t>eth_available</t>
  </si>
  <si>
    <t>eth_balance</t>
  </si>
  <si>
    <t>eth_reserved</t>
  </si>
  <si>
    <t>ethbtc_fee</t>
  </si>
  <si>
    <t>etheur_fee</t>
  </si>
  <si>
    <t>ethusd_fee</t>
  </si>
  <si>
    <t>eur_available</t>
  </si>
  <si>
    <t>eur_balance</t>
  </si>
  <si>
    <t>eur_reserved</t>
  </si>
  <si>
    <t>eurusd_fee</t>
  </si>
  <si>
    <t>ltc_available</t>
  </si>
  <si>
    <t>ltc_balance</t>
  </si>
  <si>
    <t>ltc_reserved</t>
  </si>
  <si>
    <t>ltcbtc_fee</t>
  </si>
  <si>
    <t>ltceur_fee</t>
  </si>
  <si>
    <t>ltcusd_fee</t>
  </si>
  <si>
    <t>usd_available</t>
  </si>
  <si>
    <t>usd_balance</t>
  </si>
  <si>
    <t>usd_reserved</t>
  </si>
  <si>
    <t>xrp_available</t>
  </si>
  <si>
    <t>xrp_balance</t>
  </si>
  <si>
    <t>xrp_reserved</t>
  </si>
  <si>
    <t>xrpbtc_fee</t>
  </si>
  <si>
    <t>xrpeur_fee</t>
  </si>
  <si>
    <t>xrpusd_fee</t>
  </si>
  <si>
    <t>value</t>
  </si>
  <si>
    <t>title</t>
  </si>
  <si>
    <t>{"high": "4343.63", "last": "4314.84", "timestamp": "1554410501", "bid": "4303.72", "vwap": "4279.68", "volume": "210.10757824", "low": "4250.73", "ask": "4314.68", "open": "4301.81"}</t>
  </si>
  <si>
    <t>Bittrex</t>
  </si>
  <si>
    <t>Find the sample code in the sheet and the code the macro uses in ModExchBittrex</t>
  </si>
  <si>
    <t>MarketName</t>
  </si>
  <si>
    <t>BTC-DOGE</t>
  </si>
  <si>
    <t>TimeStamp</t>
  </si>
  <si>
    <t>OpenBuyOrders</t>
  </si>
  <si>
    <t>OpenSellOrders</t>
  </si>
  <si>
    <t>PrevDay</t>
  </si>
  <si>
    <t>Created</t>
  </si>
  <si>
    <t>2014-02-13T00:00:00</t>
  </si>
  <si>
    <t>BCH</t>
  </si>
  <si>
    <t>{"success":true,"message":"","result":[{"MarketName":"BTC-DOGE","High":0.00000085,"Low":0.00000057,"Volume":3110073902.62615260,"Last":0.00000068,"BaseVolume":2273.28716050,"TimeStamp":"2019-04-04T21:03:24.437","Bid":0.00000067,"Ask":0.00000068,"OpenBuyOrders":2446,"OpenSellOrders":4015,"PrevDay":0.00000069,"Created":"2014-02-13T00:00:00"}]}</t>
  </si>
  <si>
    <t>2019-04-04T21:03:24.437</t>
  </si>
  <si>
    <t>5654f3e90a</t>
  </si>
  <si>
    <t>fcf1792c35904aca8b01f5eb2e11deacf94f43d593</t>
  </si>
  <si>
    <t>1DTF88y3dDMLNURpgdT3wXm111GBsQRyPa</t>
  </si>
  <si>
    <t>1FRLhobbyMFjVzgEgTNubpzF6zriwcPd7w</t>
  </si>
  <si>
    <t>Coinbase</t>
  </si>
  <si>
    <t>Find the sample code in the sheet and the code the macro uses in ModExchCoinbase</t>
  </si>
  <si>
    <t>EUR</t>
  </si>
  <si>
    <t>base</t>
  </si>
  <si>
    <t>Euro</t>
  </si>
  <si>
    <t>#0066cf</t>
  </si>
  <si>
    <t>fiat</t>
  </si>
  <si>
    <t>Litecoin</t>
  </si>
  <si>
    <t>#A6A9AA</t>
  </si>
  <si>
    <t>crypto</t>
  </si>
  <si>
    <t>^((L|M)[a-km-zA-HJ-NP-Z1-9]{25,34})|^(ltc1([qpzry9x8gf2tvdw0s3jn54khce6mua7l]{39}|[qpzry9x8gf2tvdw0s3jn54khce6mua7l]{59}))$</t>
  </si>
  <si>
    <t>c9c24c6e-c045-5fde-98a2-00ea7f520437</t>
  </si>
  <si>
    <t>Ethereum</t>
  </si>
  <si>
    <t>#627EEA</t>
  </si>
  <si>
    <t>^(?:0x)?[0-9a-fA-F]{40}$</t>
  </si>
  <si>
    <t>d85dce9b-5b73-5c3c-8978-522ce1d1c1b4</t>
  </si>
  <si>
    <t>Bitcoin Cash</t>
  </si>
  <si>
    <t>#8DC351</t>
  </si>
  <si>
    <t>^([13][a-km-zA-HJ-NP-Z1-9]{25,34})|^((bitcoincash:)?(q|p)[a-z0-9]{41})|^((BITCOINCASH:)?(Q|P)[A-Z0-9]{41})$</t>
  </si>
  <si>
    <t>45f99e13-b522-57d7-8058-c57bf92fe7a3</t>
  </si>
  <si>
    <t>Bitcoin</t>
  </si>
  <si>
    <t>#F7931A</t>
  </si>
  <si>
    <t>^([13][a-km-zA-HJ-NP-Z1-9]{25,34})|^(bc1([qpzry9x8gf2tvdw0s3jn54khce6mua7l]{39}|[qpzry9x8gf2tvdw0s3jn54khce6mua7l]{59}))$</t>
  </si>
  <si>
    <t>5b71fc48-3dd3-540c-809b-f8c94d0e68b5</t>
  </si>
  <si>
    <t>Ethereum Classic</t>
  </si>
  <si>
    <t>#59D4AF</t>
  </si>
  <si>
    <t>c16df856-0345-5358-8a70-2a78c804e61f</t>
  </si>
  <si>
    <t>0x</t>
  </si>
  <si>
    <t>#302C2C</t>
  </si>
  <si>
    <t>a2a8f5ae-83a6-542e-9064-7d335ae8a58d</t>
  </si>
  <si>
    <t>Basic Attention Token</t>
  </si>
  <si>
    <t>#FF5000</t>
  </si>
  <si>
    <t>b8950bef-d61b-53cd-bb66-db436f0f81bc</t>
  </si>
  <si>
    <t>USD Coin</t>
  </si>
  <si>
    <t>#2775CA</t>
  </si>
  <si>
    <t>2b92315d-eab7-5bef-84fa-089a131333f5</t>
  </si>
  <si>
    <t>Zcash</t>
  </si>
  <si>
    <t>#ECB244</t>
  </si>
  <si>
    <t>^(t1|t3)[a-km-zA-HJ-NP-Z1-9]{33}$</t>
  </si>
  <si>
    <t>1d3c2625-a8d9-5458-84d0-437d75540421</t>
  </si>
  <si>
    <t>#222222</t>
  </si>
  <si>
    <t>^r[1-9a-km-zA-HJ-NP-Z]{25,35}$</t>
  </si>
  <si>
    <t>e17a44c8-6ea1-564f-a02c-2a9ca1d8eec4</t>
  </si>
  <si>
    <t>XRP Tag</t>
  </si>
  <si>
    <t>^\d{1,10}$</t>
  </si>
  <si>
    <t>Stellar Lumens</t>
  </si>
  <si>
    <t>#000000</t>
  </si>
  <si>
    <t>^G[A-Z2-7]{55}$</t>
  </si>
  <si>
    <t>13b83335-5ede-595b-821e-5bcdfa80560f</t>
  </si>
  <si>
    <t>XLM Memo</t>
  </si>
  <si>
    <t>^[ -~]{1,28}$</t>
  </si>
  <si>
    <t>name</t>
  </si>
  <si>
    <t>color</t>
  </si>
  <si>
    <t>sort_index</t>
  </si>
  <si>
    <t>exponent</t>
  </si>
  <si>
    <t>address_regex</t>
  </si>
  <si>
    <t>asset_id</t>
  </si>
  <si>
    <t>destination_tag_name</t>
  </si>
  <si>
    <t>destination_tag_regex</t>
  </si>
  <si>
    <t>{"data":{"base":"BTC","currency":"EUR","amount":"4375.195792695"}}</t>
  </si>
  <si>
    <t>Find the sample code in the sheet and the code the macro uses in ModExchCoinbasePro</t>
  </si>
  <si>
    <t>CoinbasePro (former GDAX)</t>
  </si>
  <si>
    <t>volume_30day</t>
  </si>
  <si>
    <t>id</t>
  </si>
  <si>
    <t>hold</t>
  </si>
  <si>
    <t>profile_id</t>
  </si>
  <si>
    <t>{"open":"146.67000000","high":"150.13000000","low":"143.27000000","volume":"13870.49913373","last":"145.80000000","volume_30day":"458830.45809413"}</t>
  </si>
  <si>
    <t>b22e12a1-2166-4a2c</t>
  </si>
  <si>
    <t>8a06fcff-f233-ec2ccd727956</t>
  </si>
  <si>
    <t>b9d028fa-748a-4457</t>
  </si>
  <si>
    <t>45f3-878f-0fee0df507ff</t>
  </si>
  <si>
    <t>51121256-919f-01cffc442a37</t>
  </si>
  <si>
    <t>4024-9c87-b27f5444c86d</t>
  </si>
  <si>
    <t>81e441b2-0011-4cb1</t>
  </si>
  <si>
    <t>Coinone</t>
  </si>
  <si>
    <t>Find the sample code in the sheet and the code the macro uses in ModExchCoinone</t>
  </si>
  <si>
    <t>eth</t>
  </si>
  <si>
    <t>yesterday_last</t>
  </si>
  <si>
    <t>yesterday_low</t>
  </si>
  <si>
    <t>errorCode</t>
  </si>
  <si>
    <t>yesterday_volume</t>
  </si>
  <si>
    <t>yesterday_first</t>
  </si>
  <si>
    <t>first</t>
  </si>
  <si>
    <t>yesterday_high</t>
  </si>
  <si>
    <t>btt</t>
  </si>
  <si>
    <t>edna</t>
  </si>
  <si>
    <t>cosm</t>
  </si>
  <si>
    <t>knc</t>
  </si>
  <si>
    <t>btg</t>
  </si>
  <si>
    <t>zrx</t>
  </si>
  <si>
    <t>adt</t>
  </si>
  <si>
    <t>bat</t>
  </si>
  <si>
    <t>trx</t>
  </si>
  <si>
    <t>rep</t>
  </si>
  <si>
    <t>chl</t>
  </si>
  <si>
    <t>xtz</t>
  </si>
  <si>
    <t>wecash</t>
  </si>
  <si>
    <t>storj</t>
  </si>
  <si>
    <t>black</t>
  </si>
  <si>
    <t>storm</t>
  </si>
  <si>
    <t>theta</t>
  </si>
  <si>
    <t>zil</t>
  </si>
  <si>
    <t>xrp</t>
  </si>
  <si>
    <t>credo</t>
  </si>
  <si>
    <t>omg</t>
  </si>
  <si>
    <t>horus</t>
  </si>
  <si>
    <t>bsv</t>
  </si>
  <si>
    <t>snm</t>
  </si>
  <si>
    <t>xlm</t>
  </si>
  <si>
    <t>vnt</t>
  </si>
  <si>
    <t>atom</t>
  </si>
  <si>
    <t>mzk</t>
  </si>
  <si>
    <t>loom</t>
  </si>
  <si>
    <t>bch</t>
  </si>
  <si>
    <t>qtum</t>
  </si>
  <si>
    <t>krw</t>
  </si>
  <si>
    <t>iota</t>
  </si>
  <si>
    <t>ltc</t>
  </si>
  <si>
    <t>etc</t>
  </si>
  <si>
    <t>eox</t>
  </si>
  <si>
    <t>gno</t>
  </si>
  <si>
    <t>enj</t>
  </si>
  <si>
    <t>avail</t>
  </si>
  <si>
    <t>{"currency":"eth","volume":"17192.0143","last":"186400.0","yesterday_last":"187350.0","timestamp":"1554553637","yesterday_low":"178600.0","errorCode":"0","yesterday_volume":"24808.7255","high":"187700.0","result":"success","yesterday_first":"179100.0","first":"187350.0","yesterday_high":"191000.0","low":"182700.0"}</t>
  </si>
  <si>
    <t>Coinspot</t>
  </si>
  <si>
    <t>status</t>
  </si>
  <si>
    <t>ok</t>
  </si>
  <si>
    <t>prices</t>
  </si>
  <si>
    <t>doge</t>
  </si>
  <si>
    <t>powr</t>
  </si>
  <si>
    <t>ans</t>
  </si>
  <si>
    <t>str</t>
  </si>
  <si>
    <t>HitBTC</t>
  </si>
  <si>
    <t>Find the sample code in the sheet and the code the macro uses in ModExchHitBTC</t>
  </si>
  <si>
    <t>apikey_hitbtc</t>
  </si>
  <si>
    <t>secretkey_hitbtc</t>
  </si>
  <si>
    <t>{"id":"XLM","fullName":"Stellar","crypto":true,"payinEnabled":true,"payinPaymentId":true,"payinConfirmations":2,"payoutEnabled":true,"payoutIsPaymentId":true,"transferEnabled":true,"delisted":false,"payoutFee":"40.0001"}</t>
  </si>
  <si>
    <t>fullName</t>
  </si>
  <si>
    <t>Stellar</t>
  </si>
  <si>
    <t>payinEnabled</t>
  </si>
  <si>
    <t>payinPaymentId</t>
  </si>
  <si>
    <t>payinConfirmations</t>
  </si>
  <si>
    <t>payoutEnabled</t>
  </si>
  <si>
    <t>payoutIsPaymentId</t>
  </si>
  <si>
    <t>transferEnabled</t>
  </si>
  <si>
    <t>delisted</t>
  </si>
  <si>
    <t>payoutFee</t>
  </si>
  <si>
    <t>reserved</t>
  </si>
  <si>
    <t>1ST</t>
  </si>
  <si>
    <t>8BT</t>
  </si>
  <si>
    <t>ABA</t>
  </si>
  <si>
    <t>ABTC</t>
  </si>
  <si>
    <t>ABYSS</t>
  </si>
  <si>
    <t>ACAT</t>
  </si>
  <si>
    <t>ACO</t>
  </si>
  <si>
    <t>ACT</t>
  </si>
  <si>
    <t>ADH</t>
  </si>
  <si>
    <t>AEON</t>
  </si>
  <si>
    <t>AIR</t>
  </si>
  <si>
    <t>AMM</t>
  </si>
  <si>
    <t>AMP</t>
  </si>
  <si>
    <t>ANT</t>
  </si>
  <si>
    <t>ARCT</t>
  </si>
  <si>
    <t>ART</t>
  </si>
  <si>
    <t>ATB</t>
  </si>
  <si>
    <t>ATL</t>
  </si>
  <si>
    <t>ATM</t>
  </si>
  <si>
    <t>ATS</t>
  </si>
  <si>
    <t>AUC</t>
  </si>
  <si>
    <t>AUTO</t>
  </si>
  <si>
    <t>AVH</t>
  </si>
  <si>
    <t>AVT</t>
  </si>
  <si>
    <t>AXP</t>
  </si>
  <si>
    <t>AXPR</t>
  </si>
  <si>
    <t>B2G</t>
  </si>
  <si>
    <t>B2X</t>
  </si>
  <si>
    <t>BANCA</t>
  </si>
  <si>
    <t>BAR</t>
  </si>
  <si>
    <t>BAS</t>
  </si>
  <si>
    <t>BBC</t>
  </si>
  <si>
    <t>BCI</t>
  </si>
  <si>
    <t>BCST</t>
  </si>
  <si>
    <t>BDG</t>
  </si>
  <si>
    <t>BERRY</t>
  </si>
  <si>
    <t>BET</t>
  </si>
  <si>
    <t>BETR</t>
  </si>
  <si>
    <t>BEZ</t>
  </si>
  <si>
    <t>BGG</t>
  </si>
  <si>
    <t>BIT</t>
  </si>
  <si>
    <t>BITS</t>
  </si>
  <si>
    <t>BKB</t>
  </si>
  <si>
    <t>BKX</t>
  </si>
  <si>
    <t>BMC</t>
  </si>
  <si>
    <t>BMH</t>
  </si>
  <si>
    <t>BMT</t>
  </si>
  <si>
    <t>BNK</t>
  </si>
  <si>
    <t>BOS</t>
  </si>
  <si>
    <t>BOX</t>
  </si>
  <si>
    <t>BPTN</t>
  </si>
  <si>
    <t>BSTN</t>
  </si>
  <si>
    <t>BTCA</t>
  </si>
  <si>
    <t>BTCP</t>
  </si>
  <si>
    <t>BTM</t>
  </si>
  <si>
    <t>BUS</t>
  </si>
  <si>
    <t>BTX</t>
  </si>
  <si>
    <t>BUBO</t>
  </si>
  <si>
    <t>C20</t>
  </si>
  <si>
    <t>CAPP</t>
  </si>
  <si>
    <t>CAS</t>
  </si>
  <si>
    <t>CAT</t>
  </si>
  <si>
    <t>CBC</t>
  </si>
  <si>
    <t>CCL</t>
  </si>
  <si>
    <t>CCT</t>
  </si>
  <si>
    <t>CDCC</t>
  </si>
  <si>
    <t>CDX</t>
  </si>
  <si>
    <t>CENNZ</t>
  </si>
  <si>
    <t>CTR</t>
  </si>
  <si>
    <t>CFI</t>
  </si>
  <si>
    <t>CGC</t>
  </si>
  <si>
    <t>CHP</t>
  </si>
  <si>
    <t>CHSB</t>
  </si>
  <si>
    <t>CHX</t>
  </si>
  <si>
    <t>CL</t>
  </si>
  <si>
    <t>CLD</t>
  </si>
  <si>
    <t>CLN</t>
  </si>
  <si>
    <t>CLO</t>
  </si>
  <si>
    <t>CLOUT</t>
  </si>
  <si>
    <t>CLR</t>
  </si>
  <si>
    <t>CMCT</t>
  </si>
  <si>
    <t>CNX</t>
  </si>
  <si>
    <t>COIN</t>
  </si>
  <si>
    <t>COSM</t>
  </si>
  <si>
    <t>COSS</t>
  </si>
  <si>
    <t>COV</t>
  </si>
  <si>
    <t>CPAY</t>
  </si>
  <si>
    <t>CPG</t>
  </si>
  <si>
    <t>CPT</t>
  </si>
  <si>
    <t>CPY</t>
  </si>
  <si>
    <t>CRO</t>
  </si>
  <si>
    <t>CRPT</t>
  </si>
  <si>
    <t>CRS</t>
  </si>
  <si>
    <t>CSM</t>
  </si>
  <si>
    <t>CSNO</t>
  </si>
  <si>
    <t>CTE</t>
  </si>
  <si>
    <t>CTX</t>
  </si>
  <si>
    <t>CVCOIN</t>
  </si>
  <si>
    <t>CVH</t>
  </si>
  <si>
    <t>CVT</t>
  </si>
  <si>
    <t>DADI</t>
  </si>
  <si>
    <t>DAG</t>
  </si>
  <si>
    <t>DAI</t>
  </si>
  <si>
    <t>DAN</t>
  </si>
  <si>
    <t>DATX</t>
  </si>
  <si>
    <t>DAV</t>
  </si>
  <si>
    <t>DAXT</t>
  </si>
  <si>
    <t>DAY</t>
  </si>
  <si>
    <t>DBET</t>
  </si>
  <si>
    <t>DBIX</t>
  </si>
  <si>
    <t>DCN</t>
  </si>
  <si>
    <t>DCNT</t>
  </si>
  <si>
    <t>DCT</t>
  </si>
  <si>
    <t>DDF</t>
  </si>
  <si>
    <t>DGB</t>
  </si>
  <si>
    <t>DGTX</t>
  </si>
  <si>
    <t>DICE</t>
  </si>
  <si>
    <t>DIM</t>
  </si>
  <si>
    <t>DIT</t>
  </si>
  <si>
    <t>DOGE</t>
  </si>
  <si>
    <t>DOR</t>
  </si>
  <si>
    <t>DOV</t>
  </si>
  <si>
    <t>DPN</t>
  </si>
  <si>
    <t>DRG</t>
  </si>
  <si>
    <t>DRPU</t>
  </si>
  <si>
    <t>DRT</t>
  </si>
  <si>
    <t>DSH</t>
  </si>
  <si>
    <t>DTR</t>
  </si>
  <si>
    <t>DWS</t>
  </si>
  <si>
    <t>EBET</t>
  </si>
  <si>
    <t>EBKC</t>
  </si>
  <si>
    <t>EBTCOLD</t>
  </si>
  <si>
    <t>EBTC</t>
  </si>
  <si>
    <t>ECH</t>
  </si>
  <si>
    <t>ECOIN</t>
  </si>
  <si>
    <t>EDG</t>
  </si>
  <si>
    <t>EET</t>
  </si>
  <si>
    <t>EJOY</t>
  </si>
  <si>
    <t>EKO</t>
  </si>
  <si>
    <t>ELE</t>
  </si>
  <si>
    <t>ELEC</t>
  </si>
  <si>
    <t>ELM</t>
  </si>
  <si>
    <t>EMC</t>
  </si>
  <si>
    <t>EMGO</t>
  </si>
  <si>
    <t>ENGT</t>
  </si>
  <si>
    <t>ERO</t>
  </si>
  <si>
    <t>ERT</t>
  </si>
  <si>
    <t>ETBS</t>
  </si>
  <si>
    <t>ETN</t>
  </si>
  <si>
    <t>ETP</t>
  </si>
  <si>
    <t>EURS</t>
  </si>
  <si>
    <t>EVN</t>
  </si>
  <si>
    <t>EXN</t>
  </si>
  <si>
    <t>FACE</t>
  </si>
  <si>
    <t>FCN</t>
  </si>
  <si>
    <t>FDZ</t>
  </si>
  <si>
    <t>FLP</t>
  </si>
  <si>
    <t>FOTA</t>
  </si>
  <si>
    <t>FRD</t>
  </si>
  <si>
    <t>FREC</t>
  </si>
  <si>
    <t>FTX</t>
  </si>
  <si>
    <t>FXT</t>
  </si>
  <si>
    <t>FYN</t>
  </si>
  <si>
    <t>FYP</t>
  </si>
  <si>
    <t>GAME</t>
  </si>
  <si>
    <t>GBX</t>
  </si>
  <si>
    <t>GET</t>
  </si>
  <si>
    <t>GNO</t>
  </si>
  <si>
    <t>GNX</t>
  </si>
  <si>
    <t>GRPH</t>
  </si>
  <si>
    <t>GRIN</t>
  </si>
  <si>
    <t>GRMD</t>
  </si>
  <si>
    <t>GST</t>
  </si>
  <si>
    <t>GUP</t>
  </si>
  <si>
    <t>GUSD</t>
  </si>
  <si>
    <t>HAC</t>
  </si>
  <si>
    <t>HAND</t>
  </si>
  <si>
    <t>HBT</t>
  </si>
  <si>
    <t>HBZ</t>
  </si>
  <si>
    <t>HDG</t>
  </si>
  <si>
    <t>HERO</t>
  </si>
  <si>
    <t>HGT</t>
  </si>
  <si>
    <t>HIRE</t>
  </si>
  <si>
    <t>HLW</t>
  </si>
  <si>
    <t>HMQ</t>
  </si>
  <si>
    <t>HPC</t>
  </si>
  <si>
    <t>HQX</t>
  </si>
  <si>
    <t>HRB</t>
  </si>
  <si>
    <t>HT</t>
  </si>
  <si>
    <t>HTML</t>
  </si>
  <si>
    <t>HVN</t>
  </si>
  <si>
    <t>ICO</t>
  </si>
  <si>
    <t>ICOS</t>
  </si>
  <si>
    <t>IDH</t>
  </si>
  <si>
    <t>IFT</t>
  </si>
  <si>
    <t>IGNIS</t>
  </si>
  <si>
    <t>IHT</t>
  </si>
  <si>
    <t>IML</t>
  </si>
  <si>
    <t>IND</t>
  </si>
  <si>
    <t>INDI</t>
  </si>
  <si>
    <t>INK</t>
  </si>
  <si>
    <t>INSUR</t>
  </si>
  <si>
    <t>IPL</t>
  </si>
  <si>
    <t>ITS</t>
  </si>
  <si>
    <t>IVY</t>
  </si>
  <si>
    <t>IXT</t>
  </si>
  <si>
    <t>JBC</t>
  </si>
  <si>
    <t>JNT</t>
  </si>
  <si>
    <t>JOT</t>
  </si>
  <si>
    <t>KBC</t>
  </si>
  <si>
    <t>KBR</t>
  </si>
  <si>
    <t>KICK</t>
  </si>
  <si>
    <t>KIN</t>
  </si>
  <si>
    <t>KIND</t>
  </si>
  <si>
    <t>KRM</t>
  </si>
  <si>
    <t>KRWB</t>
  </si>
  <si>
    <t>LA</t>
  </si>
  <si>
    <t>LAT</t>
  </si>
  <si>
    <t>LATX</t>
  </si>
  <si>
    <t>LCC</t>
  </si>
  <si>
    <t>LDC</t>
  </si>
  <si>
    <t>LIFE</t>
  </si>
  <si>
    <t>LNC</t>
  </si>
  <si>
    <t>LND</t>
  </si>
  <si>
    <t>LOC</t>
  </si>
  <si>
    <t>LUC</t>
  </si>
  <si>
    <t>LWF</t>
  </si>
  <si>
    <t>MAID</t>
  </si>
  <si>
    <t>MAN</t>
  </si>
  <si>
    <t>MCAP</t>
  </si>
  <si>
    <t>MEK</t>
  </si>
  <si>
    <t>MESH</t>
  </si>
  <si>
    <t>MESSE</t>
  </si>
  <si>
    <t>MG</t>
  </si>
  <si>
    <t>MIPS</t>
  </si>
  <si>
    <t>MITX</t>
  </si>
  <si>
    <t>MKR</t>
  </si>
  <si>
    <t>MLD</t>
  </si>
  <si>
    <t>MLN</t>
  </si>
  <si>
    <t>MNE</t>
  </si>
  <si>
    <t>MNX</t>
  </si>
  <si>
    <t>MORPH</t>
  </si>
  <si>
    <t>MPK</t>
  </si>
  <si>
    <t>MRK</t>
  </si>
  <si>
    <t>MRS</t>
  </si>
  <si>
    <t>MRV</t>
  </si>
  <si>
    <t>MSP</t>
  </si>
  <si>
    <t>MTC</t>
  </si>
  <si>
    <t>MTX</t>
  </si>
  <si>
    <t>MXM</t>
  </si>
  <si>
    <t>MYB</t>
  </si>
  <si>
    <t>MYST</t>
  </si>
  <si>
    <t>NANJ</t>
  </si>
  <si>
    <t>NAVI</t>
  </si>
  <si>
    <t>NCT</t>
  </si>
  <si>
    <t>NDC</t>
  </si>
  <si>
    <t>NET</t>
  </si>
  <si>
    <t>NEU</t>
  </si>
  <si>
    <t>NEXO</t>
  </si>
  <si>
    <t>NGC</t>
  </si>
  <si>
    <t>NIM</t>
  </si>
  <si>
    <t>NLC2</t>
  </si>
  <si>
    <t>NMR</t>
  </si>
  <si>
    <t>NOAH</t>
  </si>
  <si>
    <t>NPLC</t>
  </si>
  <si>
    <t>NTK</t>
  </si>
  <si>
    <t>NTO</t>
  </si>
  <si>
    <t>NXC</t>
  </si>
  <si>
    <t>NXT</t>
  </si>
  <si>
    <t>OAK</t>
  </si>
  <si>
    <t>OCN</t>
  </si>
  <si>
    <t>ODN</t>
  </si>
  <si>
    <t>OPT</t>
  </si>
  <si>
    <t>ORME</t>
  </si>
  <si>
    <t>ORMEUS</t>
  </si>
  <si>
    <t>OTN</t>
  </si>
  <si>
    <t>OTX</t>
  </si>
  <si>
    <t>PASS</t>
  </si>
  <si>
    <t>PAT</t>
  </si>
  <si>
    <t>PAY</t>
  </si>
  <si>
    <t>PBKX</t>
  </si>
  <si>
    <t>PBTT</t>
  </si>
  <si>
    <t>PCL</t>
  </si>
  <si>
    <t>PETH</t>
  </si>
  <si>
    <t>PING</t>
  </si>
  <si>
    <t>PITCH</t>
  </si>
  <si>
    <t>PIX</t>
  </si>
  <si>
    <t>PKT</t>
  </si>
  <si>
    <t>PLA</t>
  </si>
  <si>
    <t>PLBT</t>
  </si>
  <si>
    <t>PLR</t>
  </si>
  <si>
    <t>PLU</t>
  </si>
  <si>
    <t>PMA</t>
  </si>
  <si>
    <t>PMNT</t>
  </si>
  <si>
    <t>PNT</t>
  </si>
  <si>
    <t>POA20</t>
  </si>
  <si>
    <t>POLL</t>
  </si>
  <si>
    <t>PPC</t>
  </si>
  <si>
    <t>PQT</t>
  </si>
  <si>
    <t>PREMINE</t>
  </si>
  <si>
    <t>PRG</t>
  </si>
  <si>
    <t>PRO</t>
  </si>
  <si>
    <t>PROC</t>
  </si>
  <si>
    <t>PRE</t>
  </si>
  <si>
    <t>PTOY</t>
  </si>
  <si>
    <t>PXG</t>
  </si>
  <si>
    <t>QAU</t>
  </si>
  <si>
    <t>QCN</t>
  </si>
  <si>
    <t>QNTU</t>
  </si>
  <si>
    <t>QVT</t>
  </si>
  <si>
    <t>R</t>
  </si>
  <si>
    <t>RCOIN</t>
  </si>
  <si>
    <t>REX</t>
  </si>
  <si>
    <t>RIK</t>
  </si>
  <si>
    <t>RKC</t>
  </si>
  <si>
    <t>RNTB</t>
  </si>
  <si>
    <t>ROOTS</t>
  </si>
  <si>
    <t>ROX</t>
  </si>
  <si>
    <t>RPM</t>
  </si>
  <si>
    <t>RVT</t>
  </si>
  <si>
    <t>SAN</t>
  </si>
  <si>
    <t>SBD</t>
  </si>
  <si>
    <t>SBTC</t>
  </si>
  <si>
    <t>SCC</t>
  </si>
  <si>
    <t>SCL</t>
  </si>
  <si>
    <t>SENT</t>
  </si>
  <si>
    <t>SETH</t>
  </si>
  <si>
    <t>SHIP</t>
  </si>
  <si>
    <t>SIG</t>
  </si>
  <si>
    <t>SILK</t>
  </si>
  <si>
    <t>SISA</t>
  </si>
  <si>
    <t>SKIN</t>
  </si>
  <si>
    <t>SLX</t>
  </si>
  <si>
    <t>SMART</t>
  </si>
  <si>
    <t>SMS</t>
  </si>
  <si>
    <t>SMT</t>
  </si>
  <si>
    <t>SNBL</t>
  </si>
  <si>
    <t>SNC</t>
  </si>
  <si>
    <t>SOC</t>
  </si>
  <si>
    <t>SPC</t>
  </si>
  <si>
    <t>SPD</t>
  </si>
  <si>
    <t>SPF</t>
  </si>
  <si>
    <t>SRN</t>
  </si>
  <si>
    <t>STAK</t>
  </si>
  <si>
    <t>STAR</t>
  </si>
  <si>
    <t>STQ</t>
  </si>
  <si>
    <t>STU</t>
  </si>
  <si>
    <t>STX</t>
  </si>
  <si>
    <t>SUNC</t>
  </si>
  <si>
    <t>SUR</t>
  </si>
  <si>
    <t>SVD</t>
  </si>
  <si>
    <t>SWFTC</t>
  </si>
  <si>
    <t>SWM</t>
  </si>
  <si>
    <t>SWT</t>
  </si>
  <si>
    <t>TAAS</t>
  </si>
  <si>
    <t>TAU</t>
  </si>
  <si>
    <t>TBAR</t>
  </si>
  <si>
    <t>TBT</t>
  </si>
  <si>
    <t>TCN</t>
  </si>
  <si>
    <t>TDP</t>
  </si>
  <si>
    <t>TDS</t>
  </si>
  <si>
    <t>TEL</t>
  </si>
  <si>
    <t>TGT</t>
  </si>
  <si>
    <t>TIME</t>
  </si>
  <si>
    <t>TIO</t>
  </si>
  <si>
    <t>TIV</t>
  </si>
  <si>
    <t>TIX</t>
  </si>
  <si>
    <t>TKA</t>
  </si>
  <si>
    <t>TKN</t>
  </si>
  <si>
    <t>TKR</t>
  </si>
  <si>
    <t>TKY</t>
  </si>
  <si>
    <t>TOLL</t>
  </si>
  <si>
    <t>TRAC</t>
  </si>
  <si>
    <t>TRAD</t>
  </si>
  <si>
    <t>TRST</t>
  </si>
  <si>
    <t>TTU</t>
  </si>
  <si>
    <t>TV</t>
  </si>
  <si>
    <t>UET</t>
  </si>
  <si>
    <t>UGT</t>
  </si>
  <si>
    <t>ULTC</t>
  </si>
  <si>
    <t>UMT</t>
  </si>
  <si>
    <t>UNC</t>
  </si>
  <si>
    <t>USC</t>
  </si>
  <si>
    <t>USD</t>
  </si>
  <si>
    <t>USE</t>
  </si>
  <si>
    <t>UTK</t>
  </si>
  <si>
    <t>UTNP</t>
  </si>
  <si>
    <t>UTT</t>
  </si>
  <si>
    <t>UUU</t>
  </si>
  <si>
    <t>VEO</t>
  </si>
  <si>
    <t>VERI</t>
  </si>
  <si>
    <t>VIO</t>
  </si>
  <si>
    <t>VIT</t>
  </si>
  <si>
    <t>VME</t>
  </si>
  <si>
    <t>VOCO</t>
  </si>
  <si>
    <t>VOISE</t>
  </si>
  <si>
    <t>VRA</t>
  </si>
  <si>
    <t>W3C</t>
  </si>
  <si>
    <t>WAX</t>
  </si>
  <si>
    <t>WBTC</t>
  </si>
  <si>
    <t>WEALTH</t>
  </si>
  <si>
    <t>WIKI</t>
  </si>
  <si>
    <t>WILD</t>
  </si>
  <si>
    <t>WITH</t>
  </si>
  <si>
    <t>WIZ</t>
  </si>
  <si>
    <t>WLK</t>
  </si>
  <si>
    <t>WMGO</t>
  </si>
  <si>
    <t>WRC</t>
  </si>
  <si>
    <t>WTT</t>
  </si>
  <si>
    <t>XAUR</t>
  </si>
  <si>
    <t>XBP</t>
  </si>
  <si>
    <t>XCLR</t>
  </si>
  <si>
    <t>XDN</t>
  </si>
  <si>
    <t>XDNCO</t>
  </si>
  <si>
    <t>XLC</t>
  </si>
  <si>
    <t>XMC</t>
  </si>
  <si>
    <t>XMO</t>
  </si>
  <si>
    <t>XTZ</t>
  </si>
  <si>
    <t>XUC</t>
  </si>
  <si>
    <t>YCC</t>
  </si>
  <si>
    <t>YOYOW</t>
  </si>
  <si>
    <t>ZAP</t>
  </si>
  <si>
    <t>ZPR</t>
  </si>
  <si>
    <t>ZPT</t>
  </si>
  <si>
    <t>ZRC</t>
  </si>
  <si>
    <t>ZSC</t>
  </si>
  <si>
    <t>XLTC</t>
  </si>
  <si>
    <t>XETH</t>
  </si>
  <si>
    <t>XETC</t>
  </si>
  <si>
    <t>{"error":[],"result":{"unixtime":1554717010,"rfc1123":"Mon,  8 Apr 19 09:50:10 +0000"}}</t>
  </si>
  <si>
    <t>Mon,  8 Apr 19 09:50:10 +0000</t>
  </si>
  <si>
    <t>Kraken</t>
  </si>
  <si>
    <t>Find the sample code in the sheet and the code the macro uses in ModExchKraken</t>
  </si>
  <si>
    <t>Kucoin</t>
  </si>
  <si>
    <t>Find the sample code in the sheet and the code the macro uses in ModExchKucoin</t>
  </si>
  <si>
    <t>KCS-BTC</t>
  </si>
  <si>
    <t>volValue</t>
  </si>
  <si>
    <t>holds</t>
  </si>
  <si>
    <t>ITC</t>
  </si>
  <si>
    <t>APH</t>
  </si>
  <si>
    <t>EPRX</t>
  </si>
  <si>
    <t>ABT</t>
  </si>
  <si>
    <t>BHC</t>
  </si>
  <si>
    <t>XAS</t>
  </si>
  <si>
    <t>HAT</t>
  </si>
  <si>
    <t>5c6a4af599a1d81939374fb2</t>
  </si>
  <si>
    <t>5c6a4cf899a1d8165a879adc</t>
  </si>
  <si>
    <t>5c6a4dc299a1d81743015725</t>
  </si>
  <si>
    <t>5c6a4cbf99a1d8165a857025</t>
  </si>
  <si>
    <t>5c6a4f5899a1d81a34064ab5</t>
  </si>
  <si>
    <t>5c6a4ffd99a1d816cbcef28c</t>
  </si>
  <si>
    <t>5c6a4e6d99a1d81a34fe5a43</t>
  </si>
  <si>
    <t>5c6a4bbd99a1d81743ef9134</t>
  </si>
  <si>
    <t>5c6a4d4d99a1d8182d368371</t>
  </si>
  <si>
    <t>5c6a4cb499a1d81a34ee7c40</t>
  </si>
  <si>
    <t>5c6a512d99a1d819396df4c9</t>
  </si>
  <si>
    <t>5c6a4abd99a1d81a34dd64a8</t>
  </si>
  <si>
    <t>5c6a4ea799a1d81b25cb6a15</t>
  </si>
  <si>
    <t>5c6a4e5c99a1d81c4f8fec91</t>
  </si>
  <si>
    <t>5c6a51a199a1d8193972fa99</t>
  </si>
  <si>
    <t>5c6a4c7099a1d81c4f7e54c4</t>
  </si>
  <si>
    <t>5c7016e3cbfc7b24eeadd179</t>
  </si>
  <si>
    <t>{"code":"200000","data":{"symbol":"KCS-BTC","high":"0.00028714","vol":"818512.84102967","last":"0.00026742","low":"0.00026072","buy":"0.00026693","sell":"0.00026802","changePrice":"-0.00001837","time":1554717756505,"changeRate":"-0.0642","volValue":"222.9756609567530787"}}</t>
  </si>
  <si>
    <t>5c6a4af478a1d81939374fb2</t>
  </si>
  <si>
    <t>Poloniex</t>
  </si>
  <si>
    <t>Find the sample code in the sheet and the code the macro uses in ModExchPoloniex</t>
  </si>
  <si>
    <t>ABY</t>
  </si>
  <si>
    <t>AC</t>
  </si>
  <si>
    <t>ACH</t>
  </si>
  <si>
    <t>ADN</t>
  </si>
  <si>
    <t>AERO</t>
  </si>
  <si>
    <t>ARCH</t>
  </si>
  <si>
    <t>ATOM</t>
  </si>
  <si>
    <t>AUR</t>
  </si>
  <si>
    <t>AXIS</t>
  </si>
  <si>
    <t>BALLS</t>
  </si>
  <si>
    <t>BANK</t>
  </si>
  <si>
    <t>BBL</t>
  </si>
  <si>
    <t>BBR</t>
  </si>
  <si>
    <t>BCY</t>
  </si>
  <si>
    <t>BDC</t>
  </si>
  <si>
    <t>BELA</t>
  </si>
  <si>
    <t>BITCNY</t>
  </si>
  <si>
    <t>BITUSD</t>
  </si>
  <si>
    <t>BLK</t>
  </si>
  <si>
    <t>BLOCK</t>
  </si>
  <si>
    <t>BLU</t>
  </si>
  <si>
    <t>BNS</t>
  </si>
  <si>
    <t>BONES</t>
  </si>
  <si>
    <t>BOST</t>
  </si>
  <si>
    <t>BTCD</t>
  </si>
  <si>
    <t>BTCS</t>
  </si>
  <si>
    <t>BURN</t>
  </si>
  <si>
    <t>BURST</t>
  </si>
  <si>
    <t>C2</t>
  </si>
  <si>
    <t>CACH</t>
  </si>
  <si>
    <t>CAI</t>
  </si>
  <si>
    <t>CC</t>
  </si>
  <si>
    <t>CCN</t>
  </si>
  <si>
    <t>CGA</t>
  </si>
  <si>
    <t>CHA</t>
  </si>
  <si>
    <t>CINNI</t>
  </si>
  <si>
    <t>CLAM</t>
  </si>
  <si>
    <t>CNL</t>
  </si>
  <si>
    <t>CNMT</t>
  </si>
  <si>
    <t>CNOTE</t>
  </si>
  <si>
    <t>COMM</t>
  </si>
  <si>
    <t>CON</t>
  </si>
  <si>
    <t>CORG</t>
  </si>
  <si>
    <t>CRYPT</t>
  </si>
  <si>
    <t>CURE</t>
  </si>
  <si>
    <t>CYC</t>
  </si>
  <si>
    <t>DAO</t>
  </si>
  <si>
    <t>DIEM</t>
  </si>
  <si>
    <t>DIME</t>
  </si>
  <si>
    <t>DIS</t>
  </si>
  <si>
    <t>DNS</t>
  </si>
  <si>
    <t>DRKC</t>
  </si>
  <si>
    <t>DRM</t>
  </si>
  <si>
    <t>DVK</t>
  </si>
  <si>
    <t>EAC</t>
  </si>
  <si>
    <t>EBT</t>
  </si>
  <si>
    <t>ECC</t>
  </si>
  <si>
    <t>EFL</t>
  </si>
  <si>
    <t>EMC2</t>
  </si>
  <si>
    <t>EMO</t>
  </si>
  <si>
    <t>ENC</t>
  </si>
  <si>
    <t>eTOK</t>
  </si>
  <si>
    <t>EXE</t>
  </si>
  <si>
    <t>EXP</t>
  </si>
  <si>
    <t>FAC</t>
  </si>
  <si>
    <t>FCT</t>
  </si>
  <si>
    <t>FIBRE</t>
  </si>
  <si>
    <t>FLAP</t>
  </si>
  <si>
    <t>FLDC</t>
  </si>
  <si>
    <t>FLO</t>
  </si>
  <si>
    <t>FLT</t>
  </si>
  <si>
    <t>FOAM</t>
  </si>
  <si>
    <t>FOX</t>
  </si>
  <si>
    <t>FRAC</t>
  </si>
  <si>
    <t>FRK</t>
  </si>
  <si>
    <t>FRQ</t>
  </si>
  <si>
    <t>FVZ</t>
  </si>
  <si>
    <t>FZ</t>
  </si>
  <si>
    <t>FZN</t>
  </si>
  <si>
    <t>GAP</t>
  </si>
  <si>
    <t>GDN</t>
  </si>
  <si>
    <t>GEMZ</t>
  </si>
  <si>
    <t>GEO</t>
  </si>
  <si>
    <t>GIAR</t>
  </si>
  <si>
    <t>GLB</t>
  </si>
  <si>
    <t>GML</t>
  </si>
  <si>
    <t>GNS</t>
  </si>
  <si>
    <t>GOLD</t>
  </si>
  <si>
    <t>GPC</t>
  </si>
  <si>
    <t>GPUC</t>
  </si>
  <si>
    <t>GRC</t>
  </si>
  <si>
    <t>GRCX</t>
  </si>
  <si>
    <t>GUE</t>
  </si>
  <si>
    <t>H2O</t>
  </si>
  <si>
    <t>HIRO</t>
  </si>
  <si>
    <t>HUC</t>
  </si>
  <si>
    <t>HUGE</t>
  </si>
  <si>
    <t>HVC</t>
  </si>
  <si>
    <t>HYP</t>
  </si>
  <si>
    <t>HZ</t>
  </si>
  <si>
    <t>IFC</t>
  </si>
  <si>
    <t>INDEX</t>
  </si>
  <si>
    <t>IOC</t>
  </si>
  <si>
    <t>IXC</t>
  </si>
  <si>
    <t>JLH</t>
  </si>
  <si>
    <t>JPC</t>
  </si>
  <si>
    <t>JUG</t>
  </si>
  <si>
    <t>KDC</t>
  </si>
  <si>
    <t>LBC</t>
  </si>
  <si>
    <t>LC</t>
  </si>
  <si>
    <t>LCL</t>
  </si>
  <si>
    <t>LEAF</t>
  </si>
  <si>
    <t>LGC</t>
  </si>
  <si>
    <t>LOL</t>
  </si>
  <si>
    <t>LOVE</t>
  </si>
  <si>
    <t>LPT</t>
  </si>
  <si>
    <t>LQD</t>
  </si>
  <si>
    <t>LTBC</t>
  </si>
  <si>
    <t>LTCX</t>
  </si>
  <si>
    <t>MAST</t>
  </si>
  <si>
    <t>MAX</t>
  </si>
  <si>
    <t>MCN</t>
  </si>
  <si>
    <t>MEC</t>
  </si>
  <si>
    <t>METH</t>
  </si>
  <si>
    <t>MIL</t>
  </si>
  <si>
    <t>MIN</t>
  </si>
  <si>
    <t>MINT</t>
  </si>
  <si>
    <t>MMC</t>
  </si>
  <si>
    <t>MMNXT</t>
  </si>
  <si>
    <t>MMXIV</t>
  </si>
  <si>
    <t>MNTA</t>
  </si>
  <si>
    <t>MON</t>
  </si>
  <si>
    <t>MRC</t>
  </si>
  <si>
    <t>MTS</t>
  </si>
  <si>
    <t>MUN</t>
  </si>
  <si>
    <t>MYR</t>
  </si>
  <si>
    <t>MZC</t>
  </si>
  <si>
    <t>N5X</t>
  </si>
  <si>
    <t>NAUT</t>
  </si>
  <si>
    <t>NBT</t>
  </si>
  <si>
    <t>NEOS</t>
  </si>
  <si>
    <t>NL</t>
  </si>
  <si>
    <t>NMC</t>
  </si>
  <si>
    <t>NOBL</t>
  </si>
  <si>
    <t>NOTE</t>
  </si>
  <si>
    <t>NOXT</t>
  </si>
  <si>
    <t>NRS</t>
  </si>
  <si>
    <t>NSR</t>
  </si>
  <si>
    <t>NTX</t>
  </si>
  <si>
    <t>NXTI</t>
  </si>
  <si>
    <t>OMNI</t>
  </si>
  <si>
    <t>OPAL</t>
  </si>
  <si>
    <t>PAND</t>
  </si>
  <si>
    <t>PASC</t>
  </si>
  <si>
    <t>PAWN</t>
  </si>
  <si>
    <t>PIGGY</t>
  </si>
  <si>
    <t>PINK</t>
  </si>
  <si>
    <t>PLX</t>
  </si>
  <si>
    <t>PMC</t>
  </si>
  <si>
    <t>POT</t>
  </si>
  <si>
    <t>PRC</t>
  </si>
  <si>
    <t>PRT</t>
  </si>
  <si>
    <t>PTS</t>
  </si>
  <si>
    <t>Q2C</t>
  </si>
  <si>
    <t>QBK</t>
  </si>
  <si>
    <t>QORA</t>
  </si>
  <si>
    <t>QTL</t>
  </si>
  <si>
    <t>RADS</t>
  </si>
  <si>
    <t>RBY</t>
  </si>
  <si>
    <t>RDD</t>
  </si>
  <si>
    <t>RIC</t>
  </si>
  <si>
    <t>RZR</t>
  </si>
  <si>
    <t>SDC</t>
  </si>
  <si>
    <t>SHIBE</t>
  </si>
  <si>
    <t>SHOPX</t>
  </si>
  <si>
    <t>SJCX</t>
  </si>
  <si>
    <t>SLR</t>
  </si>
  <si>
    <t>SMC</t>
  </si>
  <si>
    <t>SPA</t>
  </si>
  <si>
    <t>SQL</t>
  </si>
  <si>
    <t>SRCC</t>
  </si>
  <si>
    <t>SRG</t>
  </si>
  <si>
    <t>SSD</t>
  </si>
  <si>
    <t>STR</t>
  </si>
  <si>
    <t>SUM</t>
  </si>
  <si>
    <t>SUN</t>
  </si>
  <si>
    <t>SWARM</t>
  </si>
  <si>
    <t>SXC</t>
  </si>
  <si>
    <t>SYNC</t>
  </si>
  <si>
    <t>TAC</t>
  </si>
  <si>
    <t>TOR</t>
  </si>
  <si>
    <t>TRUST</t>
  </si>
  <si>
    <t>TWE</t>
  </si>
  <si>
    <t>UIS</t>
  </si>
  <si>
    <t>UNITY</t>
  </si>
  <si>
    <t>URO</t>
  </si>
  <si>
    <t>USDE</t>
  </si>
  <si>
    <t>UTC</t>
  </si>
  <si>
    <t>UTIL</t>
  </si>
  <si>
    <t>UVC</t>
  </si>
  <si>
    <t>VOOT</t>
  </si>
  <si>
    <t>VOX</t>
  </si>
  <si>
    <t>VRC</t>
  </si>
  <si>
    <t>VTC</t>
  </si>
  <si>
    <t>WC</t>
  </si>
  <si>
    <t>WDC</t>
  </si>
  <si>
    <t>WOLF</t>
  </si>
  <si>
    <t>X13</t>
  </si>
  <si>
    <t>XAI</t>
  </si>
  <si>
    <t>XAP</t>
  </si>
  <si>
    <t>XBC</t>
  </si>
  <si>
    <t>XC</t>
  </si>
  <si>
    <t>XCH</t>
  </si>
  <si>
    <t>XCN</t>
  </si>
  <si>
    <t>XCP</t>
  </si>
  <si>
    <t>XCR</t>
  </si>
  <si>
    <t>XDP</t>
  </si>
  <si>
    <t>XHC</t>
  </si>
  <si>
    <t>XLB</t>
  </si>
  <si>
    <t>XMG</t>
  </si>
  <si>
    <t>XPB</t>
  </si>
  <si>
    <t>XPM</t>
  </si>
  <si>
    <t>XSI</t>
  </si>
  <si>
    <t>XST</t>
  </si>
  <si>
    <t>XSV</t>
  </si>
  <si>
    <t>XUSD</t>
  </si>
  <si>
    <t>XVC</t>
  </si>
  <si>
    <t>XXC</t>
  </si>
  <si>
    <t>YACC</t>
  </si>
  <si>
    <t>YANG</t>
  </si>
  <si>
    <t>YC</t>
  </si>
  <si>
    <t>YIN</t>
  </si>
  <si>
    <t>CURRENCY</t>
  </si>
  <si>
    <t>AMOUNT</t>
  </si>
  <si>
    <t>{"asks":[["0.03018645",238],["0.03018646",512.99]],"bids":[["0.02999652",97.22],["0.02999651",77.79]],"isFrozen":"0","seq":31929027}</t>
  </si>
  <si>
    <t>1CR</t>
  </si>
  <si>
    <t>ppc</t>
  </si>
  <si>
    <t>wdc</t>
  </si>
  <si>
    <t>xpm</t>
  </si>
  <si>
    <t>max</t>
  </si>
  <si>
    <t>lot</t>
  </si>
  <si>
    <t>qrk</t>
  </si>
  <si>
    <t>moon</t>
  </si>
  <si>
    <t>ftc</t>
  </si>
  <si>
    <t>drk</t>
  </si>
  <si>
    <t>{"status":"ok","prices":{"btc":{"bid":"7309.14032","ask":"7400","last":"7449"},"ltc":{"bid":"127.5","ask":"130","last":"129"},"doge":{"bid":"0.0045","ask":"0.004899","last":"0.00467501"},"eth":{"bid":"255.01","ask":"260.8440817","last":"254"},"powr":{"bid":"0.185","ask":"0.19","last":"0.185"},"ans":{"bid":"18.4","ask":"19.1","last":"18.4"},"xrp":{"bid":"0.504","ask":"0.51476403","last":"0.5024"},"trx":{"bid":"0.0393","ask":"0.041","last":"0.041"},"eos":{"bid":"7.5477533","ask":"8","last":"7.9178"},"str":{"bid":"0.18","ask":"0.195","last":"0.188"}}}</t>
  </si>
  <si>
    <t>key here</t>
  </si>
  <si>
    <t>TRUE</t>
  </si>
  <si>
    <r>
      <t xml:space="preserve">ReverseData </t>
    </r>
    <r>
      <rPr>
        <sz val="9"/>
        <color theme="1"/>
        <rFont val="Tahoma"/>
        <family val="2"/>
      </rPr>
      <t>- newest data on top (normal: oldest on top)</t>
    </r>
  </si>
  <si>
    <r>
      <t xml:space="preserve">Api key </t>
    </r>
    <r>
      <rPr>
        <sz val="9"/>
        <color theme="1"/>
        <rFont val="Tahoma"/>
        <family val="2"/>
      </rPr>
      <t>- Please get a free API key at cryptocompare.com. It e.g. improves your rate limit.</t>
    </r>
  </si>
  <si>
    <r>
      <t xml:space="preserve">The module </t>
    </r>
    <r>
      <rPr>
        <b/>
        <sz val="9"/>
        <color theme="1"/>
        <rFont val="Tahoma"/>
        <family val="2"/>
      </rPr>
      <t>ModSrcCryptocompare</t>
    </r>
    <r>
      <rPr>
        <sz val="9"/>
        <color theme="1"/>
        <rFont val="Tahoma"/>
        <family val="2"/>
      </rPr>
      <t xml:space="preserve"> has 4 functions that can be used to pull in data from the cryptocompare API. Please get a FREE api key at cryptocompare.com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</si>
</sst>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_(* #,##0.00000_);_(* \(#,##0.00000\);_(* &quot;-&quot;??_);_(@_)"/>
    <numFmt numFmtId="166" formatCode="_(* #,##0.0000000_);_(* \(#,##0.0000000\);_(* &quot;-&quot;??_);_(@_)"/>
    <numFmt numFmtId="167" formatCode="d/mm/yy\ h:mm;@"/>
    <numFmt numFmtId="168" formatCode="_(* #,##0_);_(* \(#,##0\);_(* &quot;-&quot;??_);_(@_)"/>
    <numFmt numFmtId="169" formatCode="m/d/yyyy\ h:mm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FF0000"/>
      <name val="Tahoma"/>
      <family val="2"/>
    </font>
    <font>
      <sz val="9"/>
      <color theme="1"/>
      <name val="Tahoma"/>
      <family val="2"/>
    </font>
    <font>
      <b/>
      <sz val="9"/>
      <color theme="1"/>
      <name val="Tahoma"/>
      <family val="2"/>
    </font>
    <font>
      <u/>
      <sz val="9"/>
      <color theme="1"/>
      <name val="Tahoma"/>
      <family val="2"/>
    </font>
    <font>
      <b/>
      <i/>
      <sz val="9"/>
      <color theme="1"/>
      <name val="Tahoma"/>
      <family val="2"/>
    </font>
    <font>
      <b/>
      <sz val="14"/>
      <color rgb="FFFF0000"/>
      <name val="Tahoma"/>
      <family val="2"/>
    </font>
    <font>
      <b/>
      <sz val="14"/>
      <color theme="1"/>
      <name val="Tahoma"/>
      <family val="2"/>
    </font>
    <font>
      <sz val="14"/>
      <color theme="1"/>
      <name val="Tahoma"/>
      <family val="2"/>
    </font>
    <font>
      <sz val="11"/>
      <color theme="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7">
    <xf numFmtId="0" fontId="0" fillId="0" borderId="0" xfId="0"/>
    <xf numFmtId="0" fontId="3" fillId="0" borderId="0" xfId="0" applyFont="1"/>
    <xf numFmtId="0" fontId="4" fillId="3" borderId="0" xfId="0" quotePrefix="1" applyFont="1" applyFill="1"/>
    <xf numFmtId="0" fontId="3" fillId="3" borderId="0" xfId="0" applyFont="1" applyFill="1"/>
    <xf numFmtId="0" fontId="4" fillId="0" borderId="0" xfId="0" applyFont="1"/>
    <xf numFmtId="0" fontId="6" fillId="0" borderId="0" xfId="0" applyFont="1"/>
    <xf numFmtId="0" fontId="3" fillId="4" borderId="0" xfId="0" applyFont="1" applyFill="1"/>
    <xf numFmtId="166" fontId="3" fillId="4" borderId="0" xfId="1" applyNumberFormat="1" applyFont="1" applyFill="1"/>
    <xf numFmtId="0" fontId="5" fillId="0" borderId="0" xfId="0" applyFont="1"/>
    <xf numFmtId="0" fontId="4" fillId="4" borderId="0" xfId="0" applyFont="1" applyFill="1"/>
    <xf numFmtId="15" fontId="3" fillId="4" borderId="0" xfId="1" applyNumberFormat="1" applyFont="1" applyFill="1"/>
    <xf numFmtId="167" fontId="3" fillId="4" borderId="0" xfId="0" applyNumberFormat="1" applyFont="1" applyFill="1"/>
    <xf numFmtId="168" fontId="3" fillId="4" borderId="0" xfId="1" applyNumberFormat="1" applyFont="1" applyFill="1"/>
    <xf numFmtId="0" fontId="7" fillId="0" borderId="0" xfId="0" applyFont="1"/>
    <xf numFmtId="0" fontId="3" fillId="2" borderId="0" xfId="0" applyFont="1" applyFill="1"/>
    <xf numFmtId="14" fontId="3" fillId="2" borderId="0" xfId="0" applyNumberFormat="1" applyFont="1" applyFill="1"/>
    <xf numFmtId="0" fontId="3" fillId="0" borderId="0" xfId="0" quotePrefix="1" applyFont="1"/>
    <xf numFmtId="14" fontId="3" fillId="0" borderId="0" xfId="0" applyNumberFormat="1" applyFont="1"/>
    <xf numFmtId="0" fontId="8" fillId="0" borderId="0" xfId="0" applyFont="1"/>
    <xf numFmtId="0" fontId="4" fillId="2" borderId="0" xfId="0" applyFont="1" applyFill="1"/>
    <xf numFmtId="0" fontId="3" fillId="0" borderId="4" xfId="0" applyFont="1" applyBorder="1"/>
    <xf numFmtId="0" fontId="3" fillId="0" borderId="5" xfId="0" applyFont="1" applyBorder="1"/>
    <xf numFmtId="1" fontId="3" fillId="0" borderId="5" xfId="0" applyNumberFormat="1" applyFont="1" applyBorder="1"/>
    <xf numFmtId="0" fontId="3" fillId="0" borderId="6" xfId="0" applyFont="1" applyBorder="1"/>
    <xf numFmtId="0" fontId="3" fillId="0" borderId="9" xfId="0" applyFont="1" applyBorder="1"/>
    <xf numFmtId="0" fontId="4" fillId="0" borderId="1" xfId="0" applyFont="1" applyBorder="1"/>
    <xf numFmtId="0" fontId="4" fillId="0" borderId="3" xfId="0" applyFont="1" applyBorder="1"/>
    <xf numFmtId="1" fontId="3" fillId="0" borderId="10" xfId="0" applyNumberFormat="1" applyFont="1" applyBorder="1"/>
    <xf numFmtId="1" fontId="3" fillId="0" borderId="4" xfId="0" applyNumberFormat="1" applyFont="1" applyBorder="1"/>
    <xf numFmtId="0" fontId="4" fillId="0" borderId="2" xfId="0" applyFont="1" applyBorder="1"/>
    <xf numFmtId="169" fontId="3" fillId="0" borderId="6" xfId="0" applyNumberFormat="1" applyFont="1" applyBorder="1"/>
    <xf numFmtId="0" fontId="3" fillId="0" borderId="8" xfId="0" applyFont="1" applyBorder="1"/>
    <xf numFmtId="0" fontId="3" fillId="0" borderId="7" xfId="0" applyFont="1" applyBorder="1"/>
    <xf numFmtId="164" fontId="3" fillId="0" borderId="7" xfId="1" applyFont="1" applyBorder="1"/>
    <xf numFmtId="164" fontId="3" fillId="0" borderId="6" xfId="1" applyFont="1" applyBorder="1"/>
    <xf numFmtId="0" fontId="9" fillId="0" borderId="0" xfId="0" applyFont="1"/>
    <xf numFmtId="0" fontId="3" fillId="0" borderId="8" xfId="0" quotePrefix="1" applyFont="1" applyBorder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11" fontId="3" fillId="0" borderId="0" xfId="0" applyNumberFormat="1" applyFont="1"/>
    <xf numFmtId="0" fontId="10" fillId="0" borderId="0" xfId="0" applyFont="1"/>
    <xf numFmtId="0" fontId="4" fillId="0" borderId="1" xfId="0" quotePrefix="1" applyFont="1" applyBorder="1"/>
    <xf numFmtId="164" fontId="3" fillId="0" borderId="0" xfId="1" applyFont="1"/>
    <xf numFmtId="165" fontId="3" fillId="0" borderId="5" xfId="1" applyNumberFormat="1" applyFont="1" applyBorder="1"/>
    <xf numFmtId="1" fontId="3" fillId="0" borderId="0" xfId="0" applyNumberFormat="1" applyFont="1"/>
    <xf numFmtId="165" fontId="3" fillId="0" borderId="6" xfId="1" applyNumberFormat="1" applyFont="1" applyBorder="1"/>
  </cellXfs>
  <cellStyles count="2">
    <cellStyle name="Komma" xfId="1" builtinId="3"/>
    <cellStyle name="Standaard" xfId="0" builtinId="0"/>
  </cellStyles>
  <dxfs count="86"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11</xdr:row>
          <xdr:rowOff>76200</xdr:rowOff>
        </xdr:from>
        <xdr:to>
          <xdr:col>12</xdr:col>
          <xdr:colOff>7620</xdr:colOff>
          <xdr:row>14</xdr:row>
          <xdr:rowOff>7620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31:F195" totalsRowShown="0" headerRowDxfId="85" dataDxfId="84">
  <autoFilter ref="B31:F195" xr:uid="{2785BCC6-62DE-40D7-BF15-0BEDCD40E032}"/>
  <tableColumns count="5">
    <tableColumn id="1" xr3:uid="{465F583A-080E-4F5D-963A-2294DBC63900}" name="GROUP_1" dataDxfId="83"/>
    <tableColumn id="2" xr3:uid="{B0F9BDA7-D829-45FB-87D1-3B53F9BE7F5E}" name="GROUP_2" dataDxfId="82"/>
    <tableColumn id="3" xr3:uid="{E8AADA28-7D3F-4A87-B33E-FF273766C715}" name="asset" dataDxfId="81"/>
    <tableColumn id="4" xr3:uid="{9559B84C-9B25-47F7-B0C8-62DA5F830546}" name="free" dataDxfId="80"/>
    <tableColumn id="5" xr3:uid="{1DB314E5-4358-4E65-AED0-EE1287F5AD16}" name="locked" dataDxfId="7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C29317-1023-4580-A39D-5B4C73FC981A}" name="Tbl_Bitfinex_Balances" displayName="Tbl_Bitfinex_Balances" ref="B39:F43" totalsRowShown="0" headerRowDxfId="78" dataDxfId="77">
  <autoFilter ref="B39:F43" xr:uid="{F9A61805-56C7-41BB-B969-C86E2192A6BC}"/>
  <tableColumns count="5">
    <tableColumn id="1" xr3:uid="{C2EF4B13-1D71-4632-A480-C69F0E79A245}" name="GROUP_1" dataDxfId="76"/>
    <tableColumn id="2" xr3:uid="{007A88C8-3730-4A9C-96C8-A764E85BFAAA}" name="type" dataDxfId="75"/>
    <tableColumn id="3" xr3:uid="{7EE3BA6D-B92D-4548-B7B3-13D42CDACEA2}" name="currency" dataDxfId="74"/>
    <tableColumn id="4" xr3:uid="{BCB5CA3A-7AE8-4B3E-94C4-9711C4E25916}" name="amount" dataDxfId="73"/>
    <tableColumn id="5" xr3:uid="{0C12B869-30BA-40FA-9C90-88922D217631}" name="available" dataDxfId="7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2EA11F-3713-446D-A820-B18CAE236C8B}" name="Tbl_Bitstamp_Balances" displayName="Tbl_Bitstamp_Balances" ref="B36:C72" totalsRowShown="0" headerRowDxfId="71" dataDxfId="70">
  <autoFilter ref="B36:C72" xr:uid="{FED144E8-8A3E-4CC8-8C0A-B8372D6F3C7B}"/>
  <tableColumns count="2">
    <tableColumn id="1" xr3:uid="{BB629EA3-E966-4E45-873F-7FF127D5A6CD}" name="title" dataDxfId="69"/>
    <tableColumn id="2" xr3:uid="{2CB5CFDC-B9B9-408D-832C-12E94E7F8F55}" name="value" dataDxfId="6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Balances" displayName="Tbl_Bittrex_Balances" ref="B45:H49" totalsRowShown="0" headerRowDxfId="67" dataDxfId="66">
  <autoFilter ref="B45:H49" xr:uid="{00000000-0009-0000-0100-000002000000}"/>
  <tableColumns count="7">
    <tableColumn id="1" xr3:uid="{00000000-0010-0000-0100-000001000000}" name="GROUP_1" dataDxfId="65"/>
    <tableColumn id="2" xr3:uid="{00000000-0010-0000-0100-000002000000}" name="GROUP_2" dataDxfId="64"/>
    <tableColumn id="3" xr3:uid="{00000000-0010-0000-0100-000003000000}" name="Currency" dataDxfId="63"/>
    <tableColumn id="4" xr3:uid="{00000000-0010-0000-0100-000004000000}" name="Balance" dataDxfId="62"/>
    <tableColumn id="5" xr3:uid="{00000000-0010-0000-0100-000005000000}" name="Available" dataDxfId="61"/>
    <tableColumn id="6" xr3:uid="{00000000-0010-0000-0100-000006000000}" name="Pending" dataDxfId="60"/>
    <tableColumn id="7" xr3:uid="{00000000-0010-0000-0100-000007000000}" name="CryptoAddress" dataDxfId="5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9726653-FB78-444F-ABB1-DCD6E8B40AB5}" name="Tbl_Coinbase_Balances" displayName="Tbl_Coinbase_Balances" ref="B32:P56" totalsRowShown="0" headerRowDxfId="58" dataDxfId="57">
  <autoFilter ref="B32:P56" xr:uid="{CAA06C50-0CEF-4437-A20D-752A2E424A93}"/>
  <tableColumns count="15">
    <tableColumn id="1" xr3:uid="{8E351705-02FB-4A8E-B691-C48F42B58A83}" name="GROUP_1" dataDxfId="56"/>
    <tableColumn id="2" xr3:uid="{2AC4A871-2489-4E52-9FF5-7E0EAF8686EE}" name="GROUP_2" dataDxfId="55"/>
    <tableColumn id="3" xr3:uid="{505DC9EE-07F7-4BB4-B358-68563D6B9F14}" name="GROUP_3" dataDxfId="54"/>
    <tableColumn id="4" xr3:uid="{43D07549-32F4-42B2-9C5A-37C5E84C49D3}" name="code" dataDxfId="53"/>
    <tableColumn id="5" xr3:uid="{D9837F35-A82A-42A1-9769-F55F6D329982}" name="name" dataDxfId="52"/>
    <tableColumn id="6" xr3:uid="{566E9FE5-7B65-4A2B-BD06-D078E934275B}" name="color" dataDxfId="51"/>
    <tableColumn id="7" xr3:uid="{A2AAE1A6-32D4-419A-B7D8-1E07B366FD4C}" name="sort_index" dataDxfId="50"/>
    <tableColumn id="8" xr3:uid="{9EDFCE76-C432-4912-A236-256C11324E15}" name="exponent" dataDxfId="49"/>
    <tableColumn id="9" xr3:uid="{9F0DAC5F-8803-49F6-952F-B11906EACD2B}" name="type" dataDxfId="48"/>
    <tableColumn id="10" xr3:uid="{DF769925-A217-4940-946B-8E91E931CD1F}" name="amount" dataDxfId="47"/>
    <tableColumn id="11" xr3:uid="{1622A464-3D1F-4897-98FE-C9502E7C1003}" name="currency" dataDxfId="46"/>
    <tableColumn id="12" xr3:uid="{4DD8C163-E7BD-45F8-A292-ACFFD397CA04}" name="address_regex" dataDxfId="45"/>
    <tableColumn id="13" xr3:uid="{E8A40232-2AFF-474C-ADFF-74122C6F0B7B}" name="asset_id" dataDxfId="44"/>
    <tableColumn id="14" xr3:uid="{684048BA-3C84-4E21-8263-C6C069B49298}" name="destination_tag_name" dataDxfId="43"/>
    <tableColumn id="15" xr3:uid="{5B7EF062-D881-4765-9A1C-107F246A425D}" name="destination_tag_regex" dataDxfId="4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FAC8A7E-5D23-4C20-B035-CC22F6D1F5B0}" name="Tbl_Coinbase_Pro_Balances" displayName="Tbl_Coinbase_Pro_Balances" ref="B33:H39" totalsRowShown="0" headerRowDxfId="41" dataDxfId="40">
  <autoFilter ref="B33:H39" xr:uid="{9198978A-62B3-4392-850C-2018ADDAFDAB}"/>
  <tableColumns count="7">
    <tableColumn id="1" xr3:uid="{92DDFA7F-5B98-4329-B18B-032D1F2F7A6C}" name="GROUP_1" dataDxfId="39"/>
    <tableColumn id="2" xr3:uid="{118E2038-7F3C-4E51-9A44-055E3AFB6572}" name="id" dataDxfId="38"/>
    <tableColumn id="3" xr3:uid="{3C133154-4AE8-41C0-A3C7-9CB4FC698CE5}" name="currency" dataDxfId="37"/>
    <tableColumn id="4" xr3:uid="{E6F7033E-8CBB-44CD-8D38-F565B899B29B}" name="balance" dataDxfId="36"/>
    <tableColumn id="5" xr3:uid="{6F9EA1E4-4300-4399-BD86-C343531A2378}" name="available" dataDxfId="35"/>
    <tableColumn id="6" xr3:uid="{3C3B8795-95EE-4E26-BBB9-BDE570D3763F}" name="hold" dataDxfId="34"/>
    <tableColumn id="7" xr3:uid="{C17F6C62-AB4E-4968-A4C9-FF2AB6289734}" name="profile_id" dataDxfId="3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F75671D-41AF-42C3-940C-E25392354264}" name="Tbl_Coinone_Balances" displayName="Tbl_Coinone_Balances" ref="B41:D85" totalsRowShown="0" headerRowDxfId="32" dataDxfId="31">
  <autoFilter ref="B41:D85" xr:uid="{68DDBFE4-E001-436C-B8FF-D91B3CF6A0C9}"/>
  <tableColumns count="3">
    <tableColumn id="1" xr3:uid="{26CC11E5-91BB-497E-8613-96C4BA669E34}" name="GROUP_1" dataDxfId="30"/>
    <tableColumn id="2" xr3:uid="{12BC8910-45DF-4631-8E59-80AD2FED79AD}" name="avail" dataDxfId="29"/>
    <tableColumn id="3" xr3:uid="{43C55F0F-FDFC-4F5A-8B22-0732A4B41921}" name="balance" dataDxfId="2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81ED7E-041A-40C6-86E3-F814F9314C6A}" name="Tbl_Coinspot_Balances" displayName="Tbl_Coinspot_Balances" ref="B83:C95" totalsRowShown="0" headerRowDxfId="27" dataDxfId="26">
  <autoFilter ref="B83:C95" xr:uid="{E865EB56-D35B-46FD-9556-F530EB74A133}"/>
  <tableColumns count="2">
    <tableColumn id="1" xr3:uid="{DB67D87F-953A-4DC0-A22B-023E03A6190D}" name="GROUP_1" dataDxfId="25"/>
    <tableColumn id="2" xr3:uid="{EF83A82B-74BF-48D6-B4BA-746537C17811}" name="balance" dataDxfId="2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133ED0A-535F-4290-8C1C-48A683382B25}" name="Tbl_HitBTC_Balances" displayName="Tbl_HitBTC_Balances" ref="B40:E581" totalsRowShown="0" headerRowDxfId="23" dataDxfId="22">
  <autoFilter ref="B40:E581" xr:uid="{1C16F2C7-F448-43A3-AD9E-2DB14DFEC9A3}"/>
  <tableColumns count="4">
    <tableColumn id="1" xr3:uid="{D7DB59FB-E165-445C-92C2-450A282DA525}" name="GROUP_1" dataDxfId="21"/>
    <tableColumn id="2" xr3:uid="{C8BF2B4F-F979-41B0-A158-F42FFC961D8C}" name="currency" dataDxfId="20"/>
    <tableColumn id="3" xr3:uid="{E12A4FC7-7B90-42A0-AF28-761D2E8836AC}" name="available" dataDxfId="19"/>
    <tableColumn id="4" xr3:uid="{0D601D8D-E947-486A-881E-94194A794A38}" name="reserved" dataDxfId="1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Balances" displayName="Tbl_Kraken_Balances" ref="B32:C39" totalsRowShown="0" headerRowDxfId="17" dataDxfId="16">
  <autoFilter ref="B32:C39" xr:uid="{00000000-0009-0000-0100-000004000000}"/>
  <tableColumns count="2">
    <tableColumn id="1" xr3:uid="{00000000-0010-0000-0000-000001000000}" name="GROUP_1" dataDxfId="15"/>
    <tableColumn id="2" xr3:uid="{00000000-0010-0000-0000-000002000000}" name="result" dataDxfId="14" dataCellStyle="Komma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C189E-ADF1-4CFD-BEF2-2BDEEB6DA77B}" name="Tbl_Kucoin_Balances" displayName="Tbl_Kucoin_Balances" ref="B43:I61" totalsRowShown="0" headerRowDxfId="13" dataDxfId="12">
  <autoFilter ref="B43:I61" xr:uid="{499FC7EF-4481-441A-B448-E8ECA033E522}"/>
  <sortState xmlns:xlrd2="http://schemas.microsoft.com/office/spreadsheetml/2017/richdata2" ref="B44:I44">
    <sortCondition descending="1" ref="F43:F44"/>
  </sortState>
  <tableColumns count="8">
    <tableColumn id="1" xr3:uid="{821C4B86-7A18-4200-9635-C70A11AA86B9}" name="GROUP_1" dataDxfId="11"/>
    <tableColumn id="2" xr3:uid="{3EBF8B67-2371-4F49-8A2E-09E9E7A42273}" name="GROUP_2" dataDxfId="10"/>
    <tableColumn id="3" xr3:uid="{00F56DEC-A088-4CE9-AD3F-83B6545F0E8F}" name="balance" dataDxfId="9"/>
    <tableColumn id="4" xr3:uid="{A2D2AA82-C864-4944-B96B-D81CCDF0CF89}" name="available" dataDxfId="8"/>
    <tableColumn id="5" xr3:uid="{F6A89A8A-9586-4A55-B3E6-C1BED44443AE}" name="holds" dataDxfId="7"/>
    <tableColumn id="6" xr3:uid="{EB857C90-66DE-4F55-A8B4-787322A53AC4}" name="currency" dataDxfId="6"/>
    <tableColumn id="7" xr3:uid="{BEBFF244-F844-4234-9CFD-29065ECE44CA}" name="id" dataDxfId="5"/>
    <tableColumn id="8" xr3:uid="{2FB81F40-3BC8-4413-834F-45CF21FA9C2A}" name="type" dataDxfId="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Balances" displayName="Tbl_Poloniex_Balances" ref="B48:C356" totalsRowShown="0" headerRowDxfId="3" dataDxfId="2">
  <autoFilter ref="B48:C356" xr:uid="{E336202C-1C2A-46FB-85CA-715A856B6677}"/>
  <tableColumns count="2">
    <tableColumn id="1" xr3:uid="{0B6EDB8A-7D91-4EA8-BD82-727D7E7C0AC7}" name="CURRENCY" dataDxfId="1"/>
    <tableColumn id="2" xr3:uid="{4271C55D-7354-4697-BD92-A69F3B5AE0CF}" name="AMOU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tabSelected="1" workbookViewId="0">
      <selection activeCell="D17" sqref="D17"/>
    </sheetView>
  </sheetViews>
  <sheetFormatPr defaultRowHeight="11.4" x14ac:dyDescent="0.2"/>
  <cols>
    <col min="1" max="1" width="3.6640625" style="1" customWidth="1"/>
    <col min="2" max="2" width="3" style="1" customWidth="1"/>
    <col min="3" max="3" width="25.6640625" style="1" customWidth="1"/>
    <col min="4" max="4" width="14.77734375" style="1" customWidth="1"/>
    <col min="5" max="5" width="15.109375" style="1" bestFit="1" customWidth="1"/>
    <col min="6" max="6" width="15" style="1" customWidth="1"/>
    <col min="7" max="7" width="13.6640625" style="1" customWidth="1"/>
    <col min="8" max="8" width="18.77734375" style="1" customWidth="1"/>
    <col min="9" max="9" width="14.109375" style="1" customWidth="1"/>
    <col min="10" max="10" width="14.21875" style="1" customWidth="1"/>
    <col min="11" max="11" width="12.6640625" style="1" customWidth="1"/>
    <col min="12" max="16384" width="8.88671875" style="1"/>
  </cols>
  <sheetData>
    <row r="2" spans="2:10" ht="17.399999999999999" x14ac:dyDescent="0.3">
      <c r="B2" s="13" t="s">
        <v>128</v>
      </c>
    </row>
    <row r="3" spans="2:10" x14ac:dyDescent="0.2">
      <c r="B3" s="1" t="s">
        <v>1244</v>
      </c>
    </row>
    <row r="4" spans="2:10" x14ac:dyDescent="0.2">
      <c r="B4" s="1" t="s">
        <v>129</v>
      </c>
    </row>
    <row r="5" spans="2:10" x14ac:dyDescent="0.2">
      <c r="B5" s="1" t="s">
        <v>130</v>
      </c>
    </row>
    <row r="6" spans="2:10" x14ac:dyDescent="0.2">
      <c r="B6" s="1" t="s">
        <v>131</v>
      </c>
    </row>
    <row r="8" spans="2:10" x14ac:dyDescent="0.2">
      <c r="B8" s="2" t="s">
        <v>72</v>
      </c>
      <c r="C8" s="3"/>
      <c r="D8" s="3"/>
      <c r="E8" s="3"/>
      <c r="F8" s="3"/>
      <c r="G8" s="3"/>
      <c r="H8" s="3"/>
      <c r="I8" s="3"/>
      <c r="J8" s="3"/>
    </row>
    <row r="9" spans="2:10" x14ac:dyDescent="0.2">
      <c r="B9" s="1" t="s">
        <v>76</v>
      </c>
    </row>
    <row r="10" spans="2:10" x14ac:dyDescent="0.2">
      <c r="C10" s="1" t="s">
        <v>77</v>
      </c>
    </row>
    <row r="11" spans="2:10" x14ac:dyDescent="0.2">
      <c r="C11" s="4" t="s">
        <v>132</v>
      </c>
    </row>
    <row r="12" spans="2:10" x14ac:dyDescent="0.2">
      <c r="C12" s="4" t="s">
        <v>133</v>
      </c>
    </row>
    <row r="13" spans="2:10" x14ac:dyDescent="0.2">
      <c r="C13" s="4" t="s">
        <v>134</v>
      </c>
    </row>
    <row r="15" spans="2:10" x14ac:dyDescent="0.2">
      <c r="C15" s="5" t="s">
        <v>79</v>
      </c>
    </row>
    <row r="16" spans="2:10" x14ac:dyDescent="0.2">
      <c r="C16" s="4" t="s">
        <v>78</v>
      </c>
      <c r="D16" s="6">
        <f ca="1">C_LAST_PRICE("ETH","EUR")</f>
        <v>242.6</v>
      </c>
    </row>
    <row r="17" spans="2:10" x14ac:dyDescent="0.2">
      <c r="C17" s="4" t="s">
        <v>80</v>
      </c>
      <c r="D17" s="7">
        <f ca="1">C_LAST_PRICE("XLM","BTC","Kraken")</f>
        <v>1.3920000000000001E-5</v>
      </c>
    </row>
    <row r="18" spans="2:10" x14ac:dyDescent="0.2">
      <c r="C18" s="4" t="s">
        <v>81</v>
      </c>
      <c r="D18" s="6" t="str">
        <f ca="1">C_LAST_PRICE("BTC","XLM","Kraken")</f>
        <v>ERROR Kraken market does not exist for this coin pair (BTC-XLM)</v>
      </c>
    </row>
    <row r="20" spans="2:10" x14ac:dyDescent="0.2">
      <c r="B20" s="2" t="s">
        <v>73</v>
      </c>
      <c r="C20" s="3"/>
      <c r="D20" s="3"/>
      <c r="E20" s="3"/>
      <c r="F20" s="3"/>
      <c r="G20" s="3"/>
      <c r="H20" s="3"/>
      <c r="I20" s="3"/>
      <c r="J20" s="3"/>
    </row>
    <row r="21" spans="2:10" x14ac:dyDescent="0.2">
      <c r="B21" s="1" t="s">
        <v>84</v>
      </c>
    </row>
    <row r="22" spans="2:10" x14ac:dyDescent="0.2">
      <c r="C22" s="1" t="s">
        <v>77</v>
      </c>
    </row>
    <row r="23" spans="2:10" x14ac:dyDescent="0.2">
      <c r="C23" s="4" t="s">
        <v>132</v>
      </c>
    </row>
    <row r="24" spans="2:10" x14ac:dyDescent="0.2">
      <c r="C24" s="4" t="s">
        <v>133</v>
      </c>
    </row>
    <row r="25" spans="2:10" x14ac:dyDescent="0.2">
      <c r="C25" s="4" t="s">
        <v>135</v>
      </c>
    </row>
    <row r="26" spans="2:10" x14ac:dyDescent="0.2">
      <c r="C26" s="4" t="s">
        <v>134</v>
      </c>
    </row>
    <row r="28" spans="2:10" x14ac:dyDescent="0.2">
      <c r="C28" s="5" t="s">
        <v>79</v>
      </c>
    </row>
    <row r="29" spans="2:10" x14ac:dyDescent="0.2">
      <c r="C29" s="4" t="s">
        <v>82</v>
      </c>
      <c r="D29" s="6">
        <f ca="1">C_HIST_PRICE("XMR","EUR",DATE(2018,1,1))</f>
        <v>88.3</v>
      </c>
    </row>
    <row r="30" spans="2:10" x14ac:dyDescent="0.2">
      <c r="C30" s="4" t="s">
        <v>83</v>
      </c>
      <c r="D30" s="6">
        <f ca="1">C_HIST_PRICE("XLM","BTC",DATE(2018,1,1), "Poloniex")</f>
        <v>1.393E-5</v>
      </c>
    </row>
    <row r="31" spans="2:10" x14ac:dyDescent="0.2">
      <c r="C31" s="4"/>
    </row>
    <row r="32" spans="2:10" x14ac:dyDescent="0.2">
      <c r="B32" s="2" t="s">
        <v>74</v>
      </c>
      <c r="C32" s="3"/>
      <c r="D32" s="3"/>
      <c r="E32" s="3"/>
      <c r="F32" s="3"/>
      <c r="G32" s="3"/>
      <c r="H32" s="3"/>
      <c r="I32" s="3"/>
      <c r="J32" s="3"/>
    </row>
    <row r="33" spans="2:10" x14ac:dyDescent="0.2">
      <c r="B33" s="1" t="s">
        <v>85</v>
      </c>
    </row>
    <row r="34" spans="2:10" x14ac:dyDescent="0.2">
      <c r="C34" s="1" t="s">
        <v>77</v>
      </c>
    </row>
    <row r="35" spans="2:10" x14ac:dyDescent="0.2">
      <c r="C35" s="4" t="s">
        <v>132</v>
      </c>
    </row>
    <row r="36" spans="2:10" x14ac:dyDescent="0.2">
      <c r="C36" s="4" t="s">
        <v>133</v>
      </c>
    </row>
    <row r="37" spans="2:10" x14ac:dyDescent="0.2">
      <c r="C37" s="4" t="s">
        <v>135</v>
      </c>
    </row>
    <row r="38" spans="2:10" x14ac:dyDescent="0.2">
      <c r="C38" s="4" t="s">
        <v>134</v>
      </c>
    </row>
    <row r="40" spans="2:10" x14ac:dyDescent="0.2">
      <c r="C40" s="5" t="s">
        <v>79</v>
      </c>
    </row>
    <row r="41" spans="2:10" x14ac:dyDescent="0.2">
      <c r="C41" s="4" t="s">
        <v>87</v>
      </c>
      <c r="D41" s="6">
        <f ca="1">C_DAY_AVG_PRICE("XMR","EUR","2017/07/01")</f>
        <v>36.47</v>
      </c>
    </row>
    <row r="42" spans="2:10" x14ac:dyDescent="0.2">
      <c r="C42" s="4" t="s">
        <v>86</v>
      </c>
      <c r="D42" s="6">
        <f ca="1">C_DAY_AVG_PRICE("DOGE","BTC","1-7-2017", "HitBTC")</f>
        <v>9.7999999999999993E-7</v>
      </c>
    </row>
    <row r="43" spans="2:10" x14ac:dyDescent="0.2">
      <c r="C43" s="4"/>
    </row>
    <row r="44" spans="2:10" x14ac:dyDescent="0.2">
      <c r="B44" s="2" t="s">
        <v>75</v>
      </c>
      <c r="C44" s="3"/>
      <c r="D44" s="3"/>
      <c r="E44" s="3"/>
      <c r="F44" s="3"/>
      <c r="G44" s="3"/>
      <c r="H44" s="3"/>
      <c r="I44" s="3"/>
      <c r="J44" s="3"/>
    </row>
    <row r="45" spans="2:10" x14ac:dyDescent="0.2">
      <c r="B45" s="1" t="s">
        <v>88</v>
      </c>
    </row>
    <row r="46" spans="2:10" x14ac:dyDescent="0.2">
      <c r="B46" s="1" t="s">
        <v>136</v>
      </c>
    </row>
    <row r="47" spans="2:10" x14ac:dyDescent="0.2">
      <c r="B47" s="8" t="s">
        <v>89</v>
      </c>
    </row>
    <row r="48" spans="2:10" x14ac:dyDescent="0.2">
      <c r="C48" s="1" t="s">
        <v>77</v>
      </c>
    </row>
    <row r="49" spans="3:6" x14ac:dyDescent="0.2">
      <c r="C49" s="4" t="s">
        <v>137</v>
      </c>
    </row>
    <row r="50" spans="3:6" x14ac:dyDescent="0.2">
      <c r="C50" s="4" t="s">
        <v>132</v>
      </c>
    </row>
    <row r="51" spans="3:6" x14ac:dyDescent="0.2">
      <c r="C51" s="4" t="s">
        <v>133</v>
      </c>
    </row>
    <row r="52" spans="3:6" x14ac:dyDescent="0.2">
      <c r="C52" s="4" t="s">
        <v>138</v>
      </c>
    </row>
    <row r="53" spans="3:6" x14ac:dyDescent="0.2">
      <c r="C53" s="1" t="s">
        <v>90</v>
      </c>
    </row>
    <row r="54" spans="3:6" x14ac:dyDescent="0.2">
      <c r="C54" s="4" t="s">
        <v>139</v>
      </c>
    </row>
    <row r="55" spans="3:6" x14ac:dyDescent="0.2">
      <c r="C55" s="4" t="s">
        <v>140</v>
      </c>
    </row>
    <row r="56" spans="3:6" x14ac:dyDescent="0.2">
      <c r="C56" s="4" t="s">
        <v>134</v>
      </c>
    </row>
    <row r="58" spans="3:6" x14ac:dyDescent="0.2">
      <c r="C58" s="5" t="s">
        <v>79</v>
      </c>
    </row>
    <row r="59" spans="3:6" x14ac:dyDescent="0.2">
      <c r="C59" s="4" t="s">
        <v>91</v>
      </c>
      <c r="D59" s="9" t="str">
        <f t="array" aca="1" ref="D59:F69" ca="1">C_ARR_OHLCV("D","ETH","BTC","ECV",10)</f>
        <v>time</v>
      </c>
      <c r="E59" s="9" t="str">
        <f ca="1"/>
        <v>close</v>
      </c>
      <c r="F59" s="9" t="str">
        <f ca="1"/>
        <v>volumeto</v>
      </c>
    </row>
    <row r="60" spans="3:6" x14ac:dyDescent="0.2">
      <c r="D60" s="10">
        <f ca="1"/>
        <v>43623</v>
      </c>
      <c r="E60" s="6">
        <f ca="1"/>
        <v>3.1199999999999999E-2</v>
      </c>
      <c r="F60" s="6">
        <f ca="1"/>
        <v>54855.199999999997</v>
      </c>
    </row>
    <row r="61" spans="3:6" x14ac:dyDescent="0.2">
      <c r="D61" s="10">
        <f ca="1"/>
        <v>43624</v>
      </c>
      <c r="E61" s="6">
        <f ca="1"/>
        <v>3.082E-2</v>
      </c>
      <c r="F61" s="6">
        <f ca="1"/>
        <v>45166.07</v>
      </c>
    </row>
    <row r="62" spans="3:6" x14ac:dyDescent="0.2">
      <c r="D62" s="10">
        <f ca="1"/>
        <v>43625</v>
      </c>
      <c r="E62" s="6">
        <f ca="1"/>
        <v>3.0280000000000001E-2</v>
      </c>
      <c r="F62" s="6">
        <f ca="1"/>
        <v>57708.76</v>
      </c>
    </row>
    <row r="63" spans="3:6" x14ac:dyDescent="0.2">
      <c r="D63" s="10">
        <f ca="1"/>
        <v>43626</v>
      </c>
      <c r="E63" s="6">
        <f ca="1"/>
        <v>3.091E-2</v>
      </c>
      <c r="F63" s="6">
        <f ca="1"/>
        <v>54567.39</v>
      </c>
    </row>
    <row r="64" spans="3:6" x14ac:dyDescent="0.2">
      <c r="D64" s="10">
        <f ca="1"/>
        <v>43627</v>
      </c>
      <c r="E64" s="6">
        <f ca="1"/>
        <v>3.0980000000000001E-2</v>
      </c>
      <c r="F64" s="6">
        <f ca="1"/>
        <v>54403.92</v>
      </c>
    </row>
    <row r="65" spans="3:11" x14ac:dyDescent="0.2">
      <c r="D65" s="10">
        <f ca="1"/>
        <v>43628</v>
      </c>
      <c r="E65" s="6">
        <f ca="1"/>
        <v>3.2169999999999997E-2</v>
      </c>
      <c r="F65" s="6">
        <f ca="1"/>
        <v>56784</v>
      </c>
    </row>
    <row r="66" spans="3:11" x14ac:dyDescent="0.2">
      <c r="D66" s="10">
        <f ca="1"/>
        <v>43629</v>
      </c>
      <c r="E66" s="6">
        <f ca="1"/>
        <v>3.099E-2</v>
      </c>
      <c r="F66" s="6">
        <f ca="1"/>
        <v>59706.93</v>
      </c>
    </row>
    <row r="67" spans="3:11" x14ac:dyDescent="0.2">
      <c r="D67" s="10">
        <f ca="1"/>
        <v>43630</v>
      </c>
      <c r="E67" s="6">
        <f ca="1"/>
        <v>3.0339999999999999E-2</v>
      </c>
      <c r="F67" s="6">
        <f ca="1"/>
        <v>60184.76</v>
      </c>
    </row>
    <row r="68" spans="3:11" x14ac:dyDescent="0.2">
      <c r="D68" s="10">
        <f ca="1"/>
        <v>43631</v>
      </c>
      <c r="E68" s="6">
        <f ca="1"/>
        <v>3.039E-2</v>
      </c>
      <c r="F68" s="6">
        <f ca="1"/>
        <v>49179.77</v>
      </c>
    </row>
    <row r="69" spans="3:11" x14ac:dyDescent="0.2">
      <c r="D69" s="10">
        <f ca="1"/>
        <v>43632</v>
      </c>
      <c r="E69" s="6">
        <f ca="1"/>
        <v>2.9899999999999999E-2</v>
      </c>
      <c r="F69" s="6">
        <f ca="1"/>
        <v>59752.160000000003</v>
      </c>
    </row>
    <row r="72" spans="3:11" x14ac:dyDescent="0.2">
      <c r="C72" s="4" t="s">
        <v>92</v>
      </c>
      <c r="D72" s="9" t="str">
        <f t="array" aca="1" ref="D72:K120" ca="1">C_ARR_OHLCV("2H","XLM","BTC","TEOHLCFV",48,DATE(2018,1,1),"Kraken")</f>
        <v>time</v>
      </c>
      <c r="E72" s="9" t="str">
        <f ca="1"/>
        <v>time</v>
      </c>
      <c r="F72" s="9" t="str">
        <f ca="1"/>
        <v>open</v>
      </c>
      <c r="G72" s="9" t="str">
        <f ca="1"/>
        <v>high</v>
      </c>
      <c r="H72" s="9" t="str">
        <f ca="1"/>
        <v>low</v>
      </c>
      <c r="I72" s="9" t="str">
        <f ca="1"/>
        <v>close</v>
      </c>
      <c r="J72" s="9" t="str">
        <f ca="1"/>
        <v>volumefrom</v>
      </c>
      <c r="K72" s="9" t="str">
        <f ca="1"/>
        <v>volumeto</v>
      </c>
    </row>
    <row r="73" spans="3:11" x14ac:dyDescent="0.2">
      <c r="C73" s="4" t="s">
        <v>106</v>
      </c>
      <c r="D73" s="6">
        <f ca="1"/>
        <v>1514419200</v>
      </c>
      <c r="E73" s="11">
        <f ca="1"/>
        <v>43097</v>
      </c>
      <c r="F73" s="7">
        <f ca="1"/>
        <v>1.455E-5</v>
      </c>
      <c r="G73" s="7">
        <f ca="1"/>
        <v>1.471E-5</v>
      </c>
      <c r="H73" s="7">
        <f ca="1"/>
        <v>1.4440000000000001E-5</v>
      </c>
      <c r="I73" s="7">
        <f ca="1"/>
        <v>1.4589999999999999E-5</v>
      </c>
      <c r="J73" s="12">
        <f ca="1"/>
        <v>526205.89</v>
      </c>
      <c r="K73" s="12">
        <f ca="1"/>
        <v>7.6769999999999996</v>
      </c>
    </row>
    <row r="74" spans="3:11" x14ac:dyDescent="0.2">
      <c r="C74" s="4" t="s">
        <v>107</v>
      </c>
      <c r="D74" s="6">
        <f ca="1"/>
        <v>1514426400</v>
      </c>
      <c r="E74" s="11">
        <f ca="1"/>
        <v>43097.083333333336</v>
      </c>
      <c r="F74" s="7">
        <f ca="1"/>
        <v>1.4589999999999999E-5</v>
      </c>
      <c r="G74" s="7">
        <f ca="1"/>
        <v>1.473E-5</v>
      </c>
      <c r="H74" s="7">
        <f ca="1"/>
        <v>1.345E-5</v>
      </c>
      <c r="I74" s="7">
        <f ca="1"/>
        <v>1.464E-5</v>
      </c>
      <c r="J74" s="12">
        <f ca="1"/>
        <v>1511910.76</v>
      </c>
      <c r="K74" s="12">
        <f ca="1"/>
        <v>21.53</v>
      </c>
    </row>
    <row r="75" spans="3:11" x14ac:dyDescent="0.2">
      <c r="D75" s="6">
        <f ca="1"/>
        <v>1514433600</v>
      </c>
      <c r="E75" s="11">
        <f ca="1"/>
        <v>43097.166666666664</v>
      </c>
      <c r="F75" s="7">
        <f ca="1"/>
        <v>1.464E-5</v>
      </c>
      <c r="G75" s="7">
        <f ca="1"/>
        <v>1.469E-5</v>
      </c>
      <c r="H75" s="7">
        <f ca="1"/>
        <v>1.4E-5</v>
      </c>
      <c r="I75" s="7">
        <f ca="1"/>
        <v>1.4450000000000001E-5</v>
      </c>
      <c r="J75" s="12">
        <f ca="1"/>
        <v>966908.85</v>
      </c>
      <c r="K75" s="12">
        <f ca="1"/>
        <v>13.89</v>
      </c>
    </row>
    <row r="76" spans="3:11" x14ac:dyDescent="0.2">
      <c r="D76" s="6">
        <f ca="1"/>
        <v>1514440800</v>
      </c>
      <c r="E76" s="11">
        <f ca="1"/>
        <v>43097.25</v>
      </c>
      <c r="F76" s="7">
        <f ca="1"/>
        <v>1.4450000000000001E-5</v>
      </c>
      <c r="G76" s="7">
        <f ca="1"/>
        <v>1.464E-5</v>
      </c>
      <c r="H76" s="7">
        <f ca="1"/>
        <v>1.417E-5</v>
      </c>
      <c r="I76" s="7">
        <f ca="1"/>
        <v>1.4579999999999999E-5</v>
      </c>
      <c r="J76" s="12">
        <f ca="1"/>
        <v>833357.93</v>
      </c>
      <c r="K76" s="12">
        <f ca="1"/>
        <v>11.97</v>
      </c>
    </row>
    <row r="77" spans="3:11" x14ac:dyDescent="0.2">
      <c r="D77" s="6">
        <f ca="1"/>
        <v>1514448000</v>
      </c>
      <c r="E77" s="11">
        <f ca="1"/>
        <v>43097.333333333336</v>
      </c>
      <c r="F77" s="7">
        <f ca="1"/>
        <v>1.4579999999999999E-5</v>
      </c>
      <c r="G77" s="7">
        <f ca="1"/>
        <v>1.4579999999999999E-5</v>
      </c>
      <c r="H77" s="7">
        <f ca="1"/>
        <v>1.3900000000000001E-5</v>
      </c>
      <c r="I77" s="7">
        <f ca="1"/>
        <v>1.436E-5</v>
      </c>
      <c r="J77" s="12">
        <f ca="1"/>
        <v>1058522.69</v>
      </c>
      <c r="K77" s="12">
        <f ca="1"/>
        <v>15.06</v>
      </c>
    </row>
    <row r="78" spans="3:11" x14ac:dyDescent="0.2">
      <c r="D78" s="6">
        <f ca="1"/>
        <v>1514455200</v>
      </c>
      <c r="E78" s="11">
        <f ca="1"/>
        <v>43097.416666666664</v>
      </c>
      <c r="F78" s="7">
        <f ca="1"/>
        <v>1.436E-5</v>
      </c>
      <c r="G78" s="7">
        <f ca="1"/>
        <v>1.448E-5</v>
      </c>
      <c r="H78" s="7">
        <f ca="1"/>
        <v>1.4229999999999999E-5</v>
      </c>
      <c r="I78" s="7">
        <f ca="1"/>
        <v>1.433E-5</v>
      </c>
      <c r="J78" s="12">
        <f ca="1"/>
        <v>763329.2</v>
      </c>
      <c r="K78" s="12">
        <f ca="1"/>
        <v>10.97</v>
      </c>
    </row>
    <row r="79" spans="3:11" x14ac:dyDescent="0.2">
      <c r="D79" s="6">
        <f ca="1"/>
        <v>1514462400</v>
      </c>
      <c r="E79" s="11">
        <f ca="1"/>
        <v>43097.5</v>
      </c>
      <c r="F79" s="7">
        <f ca="1"/>
        <v>1.433E-5</v>
      </c>
      <c r="G79" s="7">
        <f ca="1"/>
        <v>1.5E-5</v>
      </c>
      <c r="H79" s="7">
        <f ca="1"/>
        <v>1.429E-5</v>
      </c>
      <c r="I79" s="7">
        <f ca="1"/>
        <v>1.464E-5</v>
      </c>
      <c r="J79" s="12">
        <f ca="1"/>
        <v>1185018.6399999999</v>
      </c>
      <c r="K79" s="12">
        <f ca="1"/>
        <v>17.2</v>
      </c>
    </row>
    <row r="80" spans="3:11" x14ac:dyDescent="0.2">
      <c r="D80" s="6">
        <f ca="1"/>
        <v>1514469600</v>
      </c>
      <c r="E80" s="11">
        <f ca="1"/>
        <v>43097.583333333336</v>
      </c>
      <c r="F80" s="7">
        <f ca="1"/>
        <v>1.464E-5</v>
      </c>
      <c r="G80" s="7">
        <f ca="1"/>
        <v>1.4949999999999999E-5</v>
      </c>
      <c r="H80" s="7">
        <f ca="1"/>
        <v>1.456E-5</v>
      </c>
      <c r="I80" s="7">
        <f ca="1"/>
        <v>1.466E-5</v>
      </c>
      <c r="J80" s="12">
        <f ca="1"/>
        <v>1309158.05</v>
      </c>
      <c r="K80" s="12">
        <f ca="1"/>
        <v>19.25</v>
      </c>
    </row>
    <row r="81" spans="4:11" x14ac:dyDescent="0.2">
      <c r="D81" s="6">
        <f ca="1"/>
        <v>1514476800</v>
      </c>
      <c r="E81" s="11">
        <f ca="1"/>
        <v>43097.666666666664</v>
      </c>
      <c r="F81" s="7">
        <f ca="1"/>
        <v>1.466E-5</v>
      </c>
      <c r="G81" s="7">
        <f ca="1"/>
        <v>1.5150000000000001E-5</v>
      </c>
      <c r="H81" s="7">
        <f ca="1"/>
        <v>1.436E-5</v>
      </c>
      <c r="I81" s="7">
        <f ca="1"/>
        <v>1.507E-5</v>
      </c>
      <c r="J81" s="12">
        <f ca="1"/>
        <v>2081526.13</v>
      </c>
      <c r="K81" s="12">
        <f ca="1"/>
        <v>30.96</v>
      </c>
    </row>
    <row r="82" spans="4:11" x14ac:dyDescent="0.2">
      <c r="D82" s="6">
        <f ca="1"/>
        <v>1514484000</v>
      </c>
      <c r="E82" s="11">
        <f ca="1"/>
        <v>43097.75</v>
      </c>
      <c r="F82" s="7">
        <f ca="1"/>
        <v>1.507E-5</v>
      </c>
      <c r="G82" s="7">
        <f ca="1"/>
        <v>1.571E-5</v>
      </c>
      <c r="H82" s="7">
        <f ca="1"/>
        <v>1.5E-5</v>
      </c>
      <c r="I82" s="7">
        <f ca="1"/>
        <v>1.558E-5</v>
      </c>
      <c r="J82" s="12">
        <f ca="1"/>
        <v>3759282.43</v>
      </c>
      <c r="K82" s="12">
        <f ca="1"/>
        <v>57.92</v>
      </c>
    </row>
    <row r="83" spans="4:11" x14ac:dyDescent="0.2">
      <c r="D83" s="6">
        <f ca="1"/>
        <v>1514491200</v>
      </c>
      <c r="E83" s="11">
        <f ca="1"/>
        <v>43097.833333333336</v>
      </c>
      <c r="F83" s="7">
        <f ca="1"/>
        <v>1.558E-5</v>
      </c>
      <c r="G83" s="7">
        <f ca="1"/>
        <v>1.5630000000000001E-5</v>
      </c>
      <c r="H83" s="7">
        <f ca="1"/>
        <v>1.5319999999999999E-5</v>
      </c>
      <c r="I83" s="7">
        <f ca="1"/>
        <v>1.541E-5</v>
      </c>
      <c r="J83" s="12">
        <f ca="1"/>
        <v>1018936.31</v>
      </c>
      <c r="K83" s="12">
        <f ca="1"/>
        <v>15.78</v>
      </c>
    </row>
    <row r="84" spans="4:11" x14ac:dyDescent="0.2">
      <c r="D84" s="6">
        <f ca="1"/>
        <v>1514498400</v>
      </c>
      <c r="E84" s="11">
        <f ca="1"/>
        <v>43097.916666666664</v>
      </c>
      <c r="F84" s="7">
        <f ca="1"/>
        <v>1.541E-5</v>
      </c>
      <c r="G84" s="7">
        <f ca="1"/>
        <v>1.5999999999999999E-5</v>
      </c>
      <c r="H84" s="7">
        <f ca="1"/>
        <v>1.521E-5</v>
      </c>
      <c r="I84" s="7">
        <f ca="1"/>
        <v>1.541E-5</v>
      </c>
      <c r="J84" s="12">
        <f ca="1"/>
        <v>1842118.29</v>
      </c>
      <c r="K84" s="12">
        <f ca="1"/>
        <v>28.97</v>
      </c>
    </row>
    <row r="85" spans="4:11" x14ac:dyDescent="0.2">
      <c r="D85" s="6">
        <f ca="1"/>
        <v>1514505600</v>
      </c>
      <c r="E85" s="11">
        <f ca="1"/>
        <v>43098</v>
      </c>
      <c r="F85" s="7">
        <f ca="1"/>
        <v>1.541E-5</v>
      </c>
      <c r="G85" s="7">
        <f ca="1"/>
        <v>1.5950000000000001E-5</v>
      </c>
      <c r="H85" s="7">
        <f ca="1"/>
        <v>1.52E-5</v>
      </c>
      <c r="I85" s="7">
        <f ca="1"/>
        <v>1.592E-5</v>
      </c>
      <c r="J85" s="12">
        <f ca="1"/>
        <v>1660812.09</v>
      </c>
      <c r="K85" s="12">
        <f ca="1"/>
        <v>25.56</v>
      </c>
    </row>
    <row r="86" spans="4:11" x14ac:dyDescent="0.2">
      <c r="D86" s="6">
        <f ca="1"/>
        <v>1514512800</v>
      </c>
      <c r="E86" s="11">
        <f ca="1"/>
        <v>43098.083333333336</v>
      </c>
      <c r="F86" s="7">
        <f ca="1"/>
        <v>1.592E-5</v>
      </c>
      <c r="G86" s="7">
        <f ca="1"/>
        <v>1.5990000000000001E-5</v>
      </c>
      <c r="H86" s="7">
        <f ca="1"/>
        <v>1.554E-5</v>
      </c>
      <c r="I86" s="7">
        <f ca="1"/>
        <v>1.59E-5</v>
      </c>
      <c r="J86" s="12">
        <f ca="1"/>
        <v>1380224.4</v>
      </c>
      <c r="K86" s="12">
        <f ca="1"/>
        <v>21.8</v>
      </c>
    </row>
    <row r="87" spans="4:11" x14ac:dyDescent="0.2">
      <c r="D87" s="6">
        <f ca="1"/>
        <v>1514520000</v>
      </c>
      <c r="E87" s="11">
        <f ca="1"/>
        <v>43098.166666666664</v>
      </c>
      <c r="F87" s="7">
        <f ca="1"/>
        <v>1.59E-5</v>
      </c>
      <c r="G87" s="7">
        <f ca="1"/>
        <v>1.6500000000000001E-5</v>
      </c>
      <c r="H87" s="7">
        <f ca="1"/>
        <v>1.59E-5</v>
      </c>
      <c r="I87" s="7">
        <f ca="1"/>
        <v>1.6500000000000001E-5</v>
      </c>
      <c r="J87" s="12">
        <f ca="1"/>
        <v>3397998.12</v>
      </c>
      <c r="K87" s="12">
        <f ca="1"/>
        <v>55.52</v>
      </c>
    </row>
    <row r="88" spans="4:11" x14ac:dyDescent="0.2">
      <c r="D88" s="6">
        <f ca="1"/>
        <v>1514527200</v>
      </c>
      <c r="E88" s="11">
        <f ca="1"/>
        <v>43098.25</v>
      </c>
      <c r="F88" s="7">
        <f ca="1"/>
        <v>1.6500000000000001E-5</v>
      </c>
      <c r="G88" s="7">
        <f ca="1"/>
        <v>1.698E-5</v>
      </c>
      <c r="H88" s="7">
        <f ca="1"/>
        <v>1.6099999999999998E-5</v>
      </c>
      <c r="I88" s="7">
        <f ca="1"/>
        <v>1.6290000000000002E-5</v>
      </c>
      <c r="J88" s="12">
        <f ca="1"/>
        <v>1876367.77</v>
      </c>
      <c r="K88" s="12">
        <f ca="1"/>
        <v>31.04</v>
      </c>
    </row>
    <row r="89" spans="4:11" x14ac:dyDescent="0.2">
      <c r="D89" s="6">
        <f ca="1"/>
        <v>1514534400</v>
      </c>
      <c r="E89" s="11">
        <f ca="1"/>
        <v>43098.333333333336</v>
      </c>
      <c r="F89" s="7">
        <f ca="1"/>
        <v>1.6290000000000002E-5</v>
      </c>
      <c r="G89" s="7">
        <f ca="1"/>
        <v>1.7450000000000001E-5</v>
      </c>
      <c r="H89" s="7">
        <f ca="1"/>
        <v>1.6019999999999999E-5</v>
      </c>
      <c r="I89" s="7">
        <f ca="1"/>
        <v>1.685E-5</v>
      </c>
      <c r="J89" s="12">
        <f ca="1"/>
        <v>3640110.84</v>
      </c>
      <c r="K89" s="12">
        <f ca="1"/>
        <v>60.79</v>
      </c>
    </row>
    <row r="90" spans="4:11" x14ac:dyDescent="0.2">
      <c r="D90" s="6">
        <f ca="1"/>
        <v>1514541600</v>
      </c>
      <c r="E90" s="11">
        <f ca="1"/>
        <v>43098.416666666664</v>
      </c>
      <c r="F90" s="7">
        <f ca="1"/>
        <v>1.685E-5</v>
      </c>
      <c r="G90" s="7">
        <f ca="1"/>
        <v>1.8689999999999999E-5</v>
      </c>
      <c r="H90" s="7">
        <f ca="1"/>
        <v>1.605E-5</v>
      </c>
      <c r="I90" s="7">
        <f ca="1"/>
        <v>1.8689999999999999E-5</v>
      </c>
      <c r="J90" s="12">
        <f ca="1"/>
        <v>7840446.21</v>
      </c>
      <c r="K90" s="12">
        <f ca="1"/>
        <v>136.97</v>
      </c>
    </row>
    <row r="91" spans="4:11" x14ac:dyDescent="0.2">
      <c r="D91" s="6">
        <f ca="1"/>
        <v>1514548800</v>
      </c>
      <c r="E91" s="11">
        <f ca="1"/>
        <v>43098.5</v>
      </c>
      <c r="F91" s="7">
        <f ca="1"/>
        <v>1.8689999999999999E-5</v>
      </c>
      <c r="G91" s="7">
        <f ca="1"/>
        <v>1.8989999999999999E-5</v>
      </c>
      <c r="H91" s="7">
        <f ca="1"/>
        <v>1.802E-5</v>
      </c>
      <c r="I91" s="7">
        <f ca="1"/>
        <v>1.825E-5</v>
      </c>
      <c r="J91" s="12">
        <f ca="1"/>
        <v>9265250.9700000007</v>
      </c>
      <c r="K91" s="12">
        <f ca="1"/>
        <v>171.05</v>
      </c>
    </row>
    <row r="92" spans="4:11" x14ac:dyDescent="0.2">
      <c r="D92" s="6">
        <f ca="1"/>
        <v>1514556000</v>
      </c>
      <c r="E92" s="11">
        <f ca="1"/>
        <v>43098.583333333336</v>
      </c>
      <c r="F92" s="7">
        <f ca="1"/>
        <v>1.825E-5</v>
      </c>
      <c r="G92" s="7">
        <f ca="1"/>
        <v>1.999E-5</v>
      </c>
      <c r="H92" s="7">
        <f ca="1"/>
        <v>1.8130000000000001E-5</v>
      </c>
      <c r="I92" s="7">
        <f ca="1"/>
        <v>1.897E-5</v>
      </c>
      <c r="J92" s="12">
        <f ca="1"/>
        <v>7850127.0499999998</v>
      </c>
      <c r="K92" s="12">
        <f ca="1"/>
        <v>150.69</v>
      </c>
    </row>
    <row r="93" spans="4:11" x14ac:dyDescent="0.2">
      <c r="D93" s="6">
        <f ca="1"/>
        <v>1514563200</v>
      </c>
      <c r="E93" s="11">
        <f ca="1"/>
        <v>43098.666666666664</v>
      </c>
      <c r="F93" s="7">
        <f ca="1"/>
        <v>1.897E-5</v>
      </c>
      <c r="G93" s="7">
        <f ca="1"/>
        <v>1.9979999999999998E-5</v>
      </c>
      <c r="H93" s="7">
        <f ca="1"/>
        <v>1.8649999999999999E-5</v>
      </c>
      <c r="I93" s="7">
        <f ca="1"/>
        <v>1.98E-5</v>
      </c>
      <c r="J93" s="12">
        <f ca="1"/>
        <v>4385247.6100000003</v>
      </c>
      <c r="K93" s="12">
        <f ca="1"/>
        <v>85.03</v>
      </c>
    </row>
    <row r="94" spans="4:11" x14ac:dyDescent="0.2">
      <c r="D94" s="6">
        <f ca="1"/>
        <v>1514570400</v>
      </c>
      <c r="E94" s="11">
        <f ca="1"/>
        <v>43098.75</v>
      </c>
      <c r="F94" s="7">
        <f ca="1"/>
        <v>1.9890000000000001E-5</v>
      </c>
      <c r="G94" s="7">
        <f ca="1"/>
        <v>2.1950000000000002E-5</v>
      </c>
      <c r="H94" s="7">
        <f ca="1"/>
        <v>1.95E-5</v>
      </c>
      <c r="I94" s="7">
        <f ca="1"/>
        <v>2.088E-5</v>
      </c>
      <c r="J94" s="12">
        <f ca="1"/>
        <v>8462616.6099999994</v>
      </c>
      <c r="K94" s="12">
        <f ca="1"/>
        <v>170.99</v>
      </c>
    </row>
    <row r="95" spans="4:11" x14ac:dyDescent="0.2">
      <c r="D95" s="6">
        <f ca="1"/>
        <v>1514577600</v>
      </c>
      <c r="E95" s="11">
        <f ca="1"/>
        <v>43098.833333333336</v>
      </c>
      <c r="F95" s="7">
        <f ca="1"/>
        <v>2.088E-5</v>
      </c>
      <c r="G95" s="7">
        <f ca="1"/>
        <v>2.1990000000000001E-5</v>
      </c>
      <c r="H95" s="7">
        <f ca="1"/>
        <v>1.9700000000000001E-5</v>
      </c>
      <c r="I95" s="7">
        <f ca="1"/>
        <v>2.0800000000000001E-5</v>
      </c>
      <c r="J95" s="12">
        <f ca="1"/>
        <v>5774654.1299999999</v>
      </c>
      <c r="K95" s="12">
        <f ca="1"/>
        <v>119.83</v>
      </c>
    </row>
    <row r="96" spans="4:11" x14ac:dyDescent="0.2">
      <c r="D96" s="6">
        <f ca="1"/>
        <v>1514584800</v>
      </c>
      <c r="E96" s="11">
        <f ca="1"/>
        <v>43098.916666666664</v>
      </c>
      <c r="F96" s="7">
        <f ca="1"/>
        <v>2.0800000000000001E-5</v>
      </c>
      <c r="G96" s="7">
        <f ca="1"/>
        <v>2.4000000000000001E-5</v>
      </c>
      <c r="H96" s="7">
        <f ca="1"/>
        <v>2.0509999999999998E-5</v>
      </c>
      <c r="I96" s="7">
        <f ca="1"/>
        <v>2.2529999999999999E-5</v>
      </c>
      <c r="J96" s="12">
        <f ca="1"/>
        <v>12779040.789999999</v>
      </c>
      <c r="K96" s="12">
        <f ca="1"/>
        <v>292.47000000000003</v>
      </c>
    </row>
    <row r="97" spans="4:11" x14ac:dyDescent="0.2">
      <c r="D97" s="6">
        <f ca="1"/>
        <v>1514592000</v>
      </c>
      <c r="E97" s="11">
        <f ca="1"/>
        <v>43099</v>
      </c>
      <c r="F97" s="7">
        <f ca="1"/>
        <v>2.2529999999999999E-5</v>
      </c>
      <c r="G97" s="7">
        <f ca="1"/>
        <v>2.5999999999999998E-5</v>
      </c>
      <c r="H97" s="7">
        <f ca="1"/>
        <v>2.1889999999999999E-5</v>
      </c>
      <c r="I97" s="7">
        <f ca="1"/>
        <v>2.597E-5</v>
      </c>
      <c r="J97" s="12">
        <f ca="1"/>
        <v>7997146.0300000003</v>
      </c>
      <c r="K97" s="12">
        <f ca="1"/>
        <v>194.06</v>
      </c>
    </row>
    <row r="98" spans="4:11" x14ac:dyDescent="0.2">
      <c r="D98" s="6">
        <f ca="1"/>
        <v>1514599200</v>
      </c>
      <c r="E98" s="11">
        <f ca="1"/>
        <v>43099.083333333336</v>
      </c>
      <c r="F98" s="7">
        <f ca="1"/>
        <v>2.597E-5</v>
      </c>
      <c r="G98" s="7">
        <f ca="1"/>
        <v>2.5999999999999998E-5</v>
      </c>
      <c r="H98" s="7">
        <f ca="1"/>
        <v>2.34E-5</v>
      </c>
      <c r="I98" s="7">
        <f ca="1"/>
        <v>2.4470000000000001E-5</v>
      </c>
      <c r="J98" s="12">
        <f ca="1"/>
        <v>7324847.4299999997</v>
      </c>
      <c r="K98" s="12">
        <f ca="1"/>
        <v>176.55</v>
      </c>
    </row>
    <row r="99" spans="4:11" x14ac:dyDescent="0.2">
      <c r="D99" s="6">
        <f ca="1"/>
        <v>1514606400</v>
      </c>
      <c r="E99" s="11">
        <f ca="1"/>
        <v>43099.166666666664</v>
      </c>
      <c r="F99" s="7">
        <f ca="1"/>
        <v>2.4470000000000001E-5</v>
      </c>
      <c r="G99" s="7">
        <f ca="1"/>
        <v>2.5199999999999999E-5</v>
      </c>
      <c r="H99" s="7">
        <f ca="1"/>
        <v>2.1999999999999999E-5</v>
      </c>
      <c r="I99" s="7">
        <f ca="1"/>
        <v>2.3900000000000002E-5</v>
      </c>
      <c r="J99" s="12">
        <f ca="1"/>
        <v>5491341.96</v>
      </c>
      <c r="K99" s="12">
        <f ca="1"/>
        <v>130.28</v>
      </c>
    </row>
    <row r="100" spans="4:11" x14ac:dyDescent="0.2">
      <c r="D100" s="6">
        <f ca="1"/>
        <v>1514613600</v>
      </c>
      <c r="E100" s="11">
        <f ca="1"/>
        <v>43099.25</v>
      </c>
      <c r="F100" s="7">
        <f ca="1"/>
        <v>2.3900000000000002E-5</v>
      </c>
      <c r="G100" s="7">
        <f ca="1"/>
        <v>2.7209999999999999E-5</v>
      </c>
      <c r="H100" s="7">
        <f ca="1"/>
        <v>2.353E-5</v>
      </c>
      <c r="I100" s="7">
        <f ca="1"/>
        <v>2.6990000000000001E-5</v>
      </c>
      <c r="J100" s="12">
        <f ca="1"/>
        <v>7027528.9900000002</v>
      </c>
      <c r="K100" s="12">
        <f ca="1"/>
        <v>180.17</v>
      </c>
    </row>
    <row r="101" spans="4:11" x14ac:dyDescent="0.2">
      <c r="D101" s="6">
        <f ca="1"/>
        <v>1514620800</v>
      </c>
      <c r="E101" s="11">
        <f ca="1"/>
        <v>43099.333333333336</v>
      </c>
      <c r="F101" s="7">
        <f ca="1"/>
        <v>2.6990000000000001E-5</v>
      </c>
      <c r="G101" s="7">
        <f ca="1"/>
        <v>2.722E-5</v>
      </c>
      <c r="H101" s="7">
        <f ca="1"/>
        <v>2.5020000000000001E-5</v>
      </c>
      <c r="I101" s="7">
        <f ca="1"/>
        <v>2.722E-5</v>
      </c>
      <c r="J101" s="12">
        <f ca="1"/>
        <v>6203041.5599999996</v>
      </c>
      <c r="K101" s="12">
        <f ca="1"/>
        <v>166.21</v>
      </c>
    </row>
    <row r="102" spans="4:11" x14ac:dyDescent="0.2">
      <c r="D102" s="6">
        <f ca="1"/>
        <v>1514628000</v>
      </c>
      <c r="E102" s="11">
        <f ca="1"/>
        <v>43099.416666666664</v>
      </c>
      <c r="F102" s="7">
        <f ca="1"/>
        <v>2.722E-5</v>
      </c>
      <c r="G102" s="7">
        <f ca="1"/>
        <v>2.8799999999999999E-5</v>
      </c>
      <c r="H102" s="7">
        <f ca="1"/>
        <v>2.404E-5</v>
      </c>
      <c r="I102" s="7">
        <f ca="1"/>
        <v>2.5729999999999999E-5</v>
      </c>
      <c r="J102" s="12">
        <f ca="1"/>
        <v>11106846.77</v>
      </c>
      <c r="K102" s="12">
        <f ca="1"/>
        <v>295.36</v>
      </c>
    </row>
    <row r="103" spans="4:11" x14ac:dyDescent="0.2">
      <c r="D103" s="6">
        <f ca="1"/>
        <v>1514635200</v>
      </c>
      <c r="E103" s="11">
        <f ca="1"/>
        <v>43099.5</v>
      </c>
      <c r="F103" s="7">
        <f ca="1"/>
        <v>2.5729999999999999E-5</v>
      </c>
      <c r="G103" s="7">
        <f ca="1"/>
        <v>2.597E-5</v>
      </c>
      <c r="H103" s="7">
        <f ca="1"/>
        <v>2.2010000000000001E-5</v>
      </c>
      <c r="I103" s="7">
        <f ca="1"/>
        <v>2.444E-5</v>
      </c>
      <c r="J103" s="12">
        <f ca="1"/>
        <v>7602454.0899999999</v>
      </c>
      <c r="K103" s="12">
        <f ca="1"/>
        <v>182.17</v>
      </c>
    </row>
    <row r="104" spans="4:11" x14ac:dyDescent="0.2">
      <c r="D104" s="6">
        <f ca="1"/>
        <v>1514642400</v>
      </c>
      <c r="E104" s="11">
        <f ca="1"/>
        <v>43099.583333333336</v>
      </c>
      <c r="F104" s="7">
        <f ca="1"/>
        <v>2.444E-5</v>
      </c>
      <c r="G104" s="7">
        <f ca="1"/>
        <v>2.6979999999999999E-5</v>
      </c>
      <c r="H104" s="7">
        <f ca="1"/>
        <v>2.408E-5</v>
      </c>
      <c r="I104" s="7">
        <f ca="1"/>
        <v>2.633E-5</v>
      </c>
      <c r="J104" s="12">
        <f ca="1"/>
        <v>3301649.43</v>
      </c>
      <c r="K104" s="12">
        <f ca="1"/>
        <v>83.92</v>
      </c>
    </row>
    <row r="105" spans="4:11" x14ac:dyDescent="0.2">
      <c r="D105" s="6">
        <f ca="1"/>
        <v>1514649600</v>
      </c>
      <c r="E105" s="11">
        <f ca="1"/>
        <v>43099.666666666664</v>
      </c>
      <c r="F105" s="7">
        <f ca="1"/>
        <v>2.633E-5</v>
      </c>
      <c r="G105" s="7">
        <f ca="1"/>
        <v>2.6780000000000001E-5</v>
      </c>
      <c r="H105" s="7">
        <f ca="1"/>
        <v>2.438E-5</v>
      </c>
      <c r="I105" s="7">
        <f ca="1"/>
        <v>2.5130000000000002E-5</v>
      </c>
      <c r="J105" s="12">
        <f ca="1"/>
        <v>4400511.3899999997</v>
      </c>
      <c r="K105" s="12">
        <f ca="1"/>
        <v>111.31</v>
      </c>
    </row>
    <row r="106" spans="4:11" x14ac:dyDescent="0.2">
      <c r="D106" s="6">
        <f ca="1"/>
        <v>1514656800</v>
      </c>
      <c r="E106" s="11">
        <f ca="1"/>
        <v>43099.75</v>
      </c>
      <c r="F106" s="7">
        <f ca="1"/>
        <v>2.5130000000000002E-5</v>
      </c>
      <c r="G106" s="7">
        <f ca="1"/>
        <v>2.6299999999999999E-5</v>
      </c>
      <c r="H106" s="7">
        <f ca="1"/>
        <v>2.4009999999999999E-5</v>
      </c>
      <c r="I106" s="7">
        <f ca="1"/>
        <v>2.5789999999999999E-5</v>
      </c>
      <c r="J106" s="12">
        <f ca="1"/>
        <v>4040794.18</v>
      </c>
      <c r="K106" s="12">
        <f ca="1"/>
        <v>101.34</v>
      </c>
    </row>
    <row r="107" spans="4:11" x14ac:dyDescent="0.2">
      <c r="D107" s="6">
        <f ca="1"/>
        <v>1514664000</v>
      </c>
      <c r="E107" s="11">
        <f ca="1"/>
        <v>43099.833333333336</v>
      </c>
      <c r="F107" s="7">
        <f ca="1"/>
        <v>2.5789999999999999E-5</v>
      </c>
      <c r="G107" s="7">
        <f ca="1"/>
        <v>2.9300000000000001E-5</v>
      </c>
      <c r="H107" s="7">
        <f ca="1"/>
        <v>2.527E-5</v>
      </c>
      <c r="I107" s="7">
        <f ca="1"/>
        <v>2.6509999999999999E-5</v>
      </c>
      <c r="J107" s="12">
        <f ca="1"/>
        <v>6335981.8300000001</v>
      </c>
      <c r="K107" s="12">
        <f ca="1"/>
        <v>175.57</v>
      </c>
    </row>
    <row r="108" spans="4:11" x14ac:dyDescent="0.2">
      <c r="D108" s="6">
        <f ca="1"/>
        <v>1514671200</v>
      </c>
      <c r="E108" s="11">
        <f ca="1"/>
        <v>43099.916666666664</v>
      </c>
      <c r="F108" s="7">
        <f ca="1"/>
        <v>2.6509999999999999E-5</v>
      </c>
      <c r="G108" s="7">
        <f ca="1"/>
        <v>2.7990000000000001E-5</v>
      </c>
      <c r="H108" s="7">
        <f ca="1"/>
        <v>2.4470000000000001E-5</v>
      </c>
      <c r="I108" s="7">
        <f ca="1"/>
        <v>2.5599999999999999E-5</v>
      </c>
      <c r="J108" s="12">
        <f ca="1"/>
        <v>4652342.67</v>
      </c>
      <c r="K108" s="12">
        <f ca="1"/>
        <v>120.56</v>
      </c>
    </row>
    <row r="109" spans="4:11" x14ac:dyDescent="0.2">
      <c r="D109" s="6">
        <f ca="1"/>
        <v>1514678400</v>
      </c>
      <c r="E109" s="11">
        <f ca="1"/>
        <v>43100</v>
      </c>
      <c r="F109" s="7">
        <f ca="1"/>
        <v>2.5599999999999999E-5</v>
      </c>
      <c r="G109" s="7">
        <f ca="1"/>
        <v>2.6400000000000001E-5</v>
      </c>
      <c r="H109" s="7">
        <f ca="1"/>
        <v>2.3110000000000001E-5</v>
      </c>
      <c r="I109" s="7">
        <f ca="1"/>
        <v>2.548E-5</v>
      </c>
      <c r="J109" s="12">
        <f ca="1"/>
        <v>2525873.21</v>
      </c>
      <c r="K109" s="12">
        <f ca="1"/>
        <v>63.05</v>
      </c>
    </row>
    <row r="110" spans="4:11" x14ac:dyDescent="0.2">
      <c r="D110" s="6">
        <f ca="1"/>
        <v>1514685600</v>
      </c>
      <c r="E110" s="11">
        <f ca="1"/>
        <v>43100.083333333336</v>
      </c>
      <c r="F110" s="7">
        <f ca="1"/>
        <v>2.548E-5</v>
      </c>
      <c r="G110" s="7">
        <f ca="1"/>
        <v>2.5789999999999999E-5</v>
      </c>
      <c r="H110" s="7">
        <f ca="1"/>
        <v>2.3E-5</v>
      </c>
      <c r="I110" s="7">
        <f ca="1"/>
        <v>2.302E-5</v>
      </c>
      <c r="J110" s="12">
        <f ca="1"/>
        <v>2142544.4500000002</v>
      </c>
      <c r="K110" s="12">
        <f ca="1"/>
        <v>52.1</v>
      </c>
    </row>
    <row r="111" spans="4:11" x14ac:dyDescent="0.2">
      <c r="D111" s="6">
        <f ca="1"/>
        <v>1514692800</v>
      </c>
      <c r="E111" s="11">
        <f ca="1"/>
        <v>43100.166666666664</v>
      </c>
      <c r="F111" s="7">
        <f ca="1"/>
        <v>2.302E-5</v>
      </c>
      <c r="G111" s="7">
        <f ca="1"/>
        <v>2.4980000000000001E-5</v>
      </c>
      <c r="H111" s="7">
        <f ca="1"/>
        <v>2.3E-5</v>
      </c>
      <c r="I111" s="7">
        <f ca="1"/>
        <v>2.41E-5</v>
      </c>
      <c r="J111" s="12">
        <f ca="1"/>
        <v>1665262.65</v>
      </c>
      <c r="K111" s="12">
        <f ca="1"/>
        <v>39.770000000000003</v>
      </c>
    </row>
    <row r="112" spans="4:11" x14ac:dyDescent="0.2">
      <c r="D112" s="6">
        <f ca="1"/>
        <v>1514700000</v>
      </c>
      <c r="E112" s="11">
        <f ca="1"/>
        <v>43100.25</v>
      </c>
      <c r="F112" s="7">
        <f ca="1"/>
        <v>2.41E-5</v>
      </c>
      <c r="G112" s="7">
        <f ca="1"/>
        <v>2.4980000000000001E-5</v>
      </c>
      <c r="H112" s="7">
        <f ca="1"/>
        <v>2.3989999999999999E-5</v>
      </c>
      <c r="I112" s="7">
        <f ca="1"/>
        <v>2.4280000000000001E-5</v>
      </c>
      <c r="J112" s="12">
        <f ca="1"/>
        <v>1632671.15</v>
      </c>
      <c r="K112" s="12">
        <f ca="1"/>
        <v>39.700000000000003</v>
      </c>
    </row>
    <row r="113" spans="4:11" x14ac:dyDescent="0.2">
      <c r="D113" s="6">
        <f ca="1"/>
        <v>1514707200</v>
      </c>
      <c r="E113" s="11">
        <f ca="1"/>
        <v>43100.333333333336</v>
      </c>
      <c r="F113" s="7">
        <f ca="1"/>
        <v>2.4280000000000001E-5</v>
      </c>
      <c r="G113" s="7">
        <f ca="1"/>
        <v>2.499E-5</v>
      </c>
      <c r="H113" s="7">
        <f ca="1"/>
        <v>2.4199999999999999E-5</v>
      </c>
      <c r="I113" s="7">
        <f ca="1"/>
        <v>2.4499999999999999E-5</v>
      </c>
      <c r="J113" s="12">
        <f ca="1"/>
        <v>758526.59</v>
      </c>
      <c r="K113" s="12">
        <f ca="1"/>
        <v>18.75</v>
      </c>
    </row>
    <row r="114" spans="4:11" x14ac:dyDescent="0.2">
      <c r="D114" s="6">
        <f ca="1"/>
        <v>1514714400</v>
      </c>
      <c r="E114" s="11">
        <f ca="1"/>
        <v>43100.416666666664</v>
      </c>
      <c r="F114" s="7">
        <f ca="1"/>
        <v>2.4499999999999999E-5</v>
      </c>
      <c r="G114" s="7">
        <f ca="1"/>
        <v>2.5000000000000001E-5</v>
      </c>
      <c r="H114" s="7">
        <f ca="1"/>
        <v>2.4009999999999999E-5</v>
      </c>
      <c r="I114" s="7">
        <f ca="1"/>
        <v>2.499E-5</v>
      </c>
      <c r="J114" s="12">
        <f ca="1"/>
        <v>1116405.3899999999</v>
      </c>
      <c r="K114" s="12">
        <f ca="1"/>
        <v>27.58</v>
      </c>
    </row>
    <row r="115" spans="4:11" x14ac:dyDescent="0.2">
      <c r="D115" s="6">
        <f ca="1"/>
        <v>1514721600</v>
      </c>
      <c r="E115" s="11">
        <f ca="1"/>
        <v>43100.5</v>
      </c>
      <c r="F115" s="7">
        <f ca="1"/>
        <v>2.499E-5</v>
      </c>
      <c r="G115" s="7">
        <f ca="1"/>
        <v>2.69E-5</v>
      </c>
      <c r="H115" s="7">
        <f ca="1"/>
        <v>2.4649999999999999E-5</v>
      </c>
      <c r="I115" s="7">
        <f ca="1"/>
        <v>2.601E-5</v>
      </c>
      <c r="J115" s="12">
        <f ca="1"/>
        <v>1522811.08</v>
      </c>
      <c r="K115" s="12">
        <f ca="1"/>
        <v>39.590000000000003</v>
      </c>
    </row>
    <row r="116" spans="4:11" x14ac:dyDescent="0.2">
      <c r="D116" s="6">
        <f ca="1"/>
        <v>1514728800</v>
      </c>
      <c r="E116" s="11">
        <f ca="1"/>
        <v>43100.583333333336</v>
      </c>
      <c r="F116" s="7">
        <f ca="1"/>
        <v>2.601E-5</v>
      </c>
      <c r="G116" s="7">
        <f ca="1"/>
        <v>2.62E-5</v>
      </c>
      <c r="H116" s="7">
        <f ca="1"/>
        <v>2.5219999999999999E-5</v>
      </c>
      <c r="I116" s="7">
        <f ca="1"/>
        <v>2.548E-5</v>
      </c>
      <c r="J116" s="12">
        <f ca="1"/>
        <v>1263137.21</v>
      </c>
      <c r="K116" s="12">
        <f ca="1"/>
        <v>32.630000000000003</v>
      </c>
    </row>
    <row r="117" spans="4:11" x14ac:dyDescent="0.2">
      <c r="D117" s="6">
        <f ca="1"/>
        <v>1514736000</v>
      </c>
      <c r="E117" s="11">
        <f ca="1"/>
        <v>43100.666666666664</v>
      </c>
      <c r="F117" s="7">
        <f ca="1"/>
        <v>2.548E-5</v>
      </c>
      <c r="G117" s="7">
        <f ca="1"/>
        <v>2.6800000000000001E-5</v>
      </c>
      <c r="H117" s="7">
        <f ca="1"/>
        <v>2.4000000000000001E-5</v>
      </c>
      <c r="I117" s="7">
        <f ca="1"/>
        <v>2.65E-5</v>
      </c>
      <c r="J117" s="12">
        <f ca="1"/>
        <v>2317324.64</v>
      </c>
      <c r="K117" s="12">
        <f ca="1"/>
        <v>58.39</v>
      </c>
    </row>
    <row r="118" spans="4:11" x14ac:dyDescent="0.2">
      <c r="D118" s="6">
        <f ca="1"/>
        <v>1514743200</v>
      </c>
      <c r="E118" s="11">
        <f ca="1"/>
        <v>43100.75</v>
      </c>
      <c r="F118" s="7">
        <f ca="1"/>
        <v>2.65E-5</v>
      </c>
      <c r="G118" s="7">
        <f ca="1"/>
        <v>2.6950000000000001E-5</v>
      </c>
      <c r="H118" s="7">
        <f ca="1"/>
        <v>2.5000000000000001E-5</v>
      </c>
      <c r="I118" s="7">
        <f ca="1"/>
        <v>2.586E-5</v>
      </c>
      <c r="J118" s="12">
        <f ca="1"/>
        <v>1534741.09</v>
      </c>
      <c r="K118" s="12">
        <f ca="1"/>
        <v>39.92</v>
      </c>
    </row>
    <row r="119" spans="4:11" x14ac:dyDescent="0.2">
      <c r="D119" s="6">
        <f ca="1"/>
        <v>1514750400</v>
      </c>
      <c r="E119" s="11">
        <f ca="1"/>
        <v>43100.833333333336</v>
      </c>
      <c r="F119" s="7">
        <f ca="1"/>
        <v>2.586E-5</v>
      </c>
      <c r="G119" s="7">
        <f ca="1"/>
        <v>2.6279999999999999E-5</v>
      </c>
      <c r="H119" s="7">
        <f ca="1"/>
        <v>2.4830000000000001E-5</v>
      </c>
      <c r="I119" s="7">
        <f ca="1"/>
        <v>2.5829999999999998E-5</v>
      </c>
      <c r="J119" s="12">
        <f ca="1"/>
        <v>848446.49</v>
      </c>
      <c r="K119" s="12">
        <f ca="1"/>
        <v>21.61</v>
      </c>
    </row>
    <row r="120" spans="4:11" x14ac:dyDescent="0.2">
      <c r="D120" s="6">
        <f ca="1"/>
        <v>1514757600</v>
      </c>
      <c r="E120" s="11">
        <f ca="1"/>
        <v>43100.916666666664</v>
      </c>
      <c r="F120" s="7">
        <f ca="1"/>
        <v>2.5829999999999998E-5</v>
      </c>
      <c r="G120" s="7">
        <f ca="1"/>
        <v>2.65E-5</v>
      </c>
      <c r="H120" s="7">
        <f ca="1"/>
        <v>2.5299999999999998E-5</v>
      </c>
      <c r="I120" s="7">
        <f ca="1"/>
        <v>2.6400000000000001E-5</v>
      </c>
      <c r="J120" s="12">
        <f ca="1"/>
        <v>905314.75</v>
      </c>
      <c r="K120" s="12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7"/>
  <sheetViews>
    <sheetView workbookViewId="0">
      <selection activeCell="C3" sqref="C3"/>
    </sheetView>
  </sheetViews>
  <sheetFormatPr defaultRowHeight="11.4" x14ac:dyDescent="0.2"/>
  <cols>
    <col min="1" max="2" width="2.5546875" style="1" customWidth="1"/>
    <col min="3" max="3" width="11.33203125" style="1" customWidth="1"/>
    <col min="4" max="16384" width="8.88671875" style="1"/>
  </cols>
  <sheetData>
    <row r="2" spans="3:11" ht="17.399999999999999" x14ac:dyDescent="0.3">
      <c r="C2" s="18" t="s">
        <v>127</v>
      </c>
      <c r="D2" s="4"/>
    </row>
    <row r="3" spans="3:11" x14ac:dyDescent="0.2">
      <c r="C3" s="14" t="s">
        <v>108</v>
      </c>
      <c r="D3" s="4" t="s">
        <v>137</v>
      </c>
    </row>
    <row r="4" spans="3:11" x14ac:dyDescent="0.2">
      <c r="C4" s="14" t="s">
        <v>56</v>
      </c>
      <c r="D4" s="4" t="s">
        <v>132</v>
      </c>
    </row>
    <row r="5" spans="3:11" x14ac:dyDescent="0.2">
      <c r="C5" s="14" t="s">
        <v>38</v>
      </c>
      <c r="D5" s="4" t="s">
        <v>133</v>
      </c>
    </row>
    <row r="6" spans="3:11" x14ac:dyDescent="0.2">
      <c r="C6" s="14" t="s">
        <v>104</v>
      </c>
      <c r="D6" s="4" t="s">
        <v>138</v>
      </c>
      <c r="K6" s="1" t="s">
        <v>90</v>
      </c>
    </row>
    <row r="7" spans="3:11" x14ac:dyDescent="0.2">
      <c r="C7" s="14">
        <v>5</v>
      </c>
      <c r="D7" s="4" t="s">
        <v>139</v>
      </c>
    </row>
    <row r="8" spans="3:11" x14ac:dyDescent="0.2">
      <c r="C8" s="15"/>
      <c r="D8" s="4" t="s">
        <v>140</v>
      </c>
    </row>
    <row r="9" spans="3:11" x14ac:dyDescent="0.2">
      <c r="C9" s="14"/>
      <c r="D9" s="4" t="s">
        <v>134</v>
      </c>
    </row>
    <row r="10" spans="3:11" x14ac:dyDescent="0.2">
      <c r="C10" s="14" t="b">
        <v>1</v>
      </c>
      <c r="D10" s="4" t="s">
        <v>1242</v>
      </c>
    </row>
    <row r="11" spans="3:11" x14ac:dyDescent="0.2">
      <c r="C11" s="14"/>
      <c r="D11" s="4" t="s">
        <v>1243</v>
      </c>
    </row>
    <row r="13" spans="3:11" x14ac:dyDescent="0.2">
      <c r="D13" s="16"/>
    </row>
    <row r="14" spans="3:11" x14ac:dyDescent="0.2">
      <c r="C14" s="2" t="s">
        <v>101</v>
      </c>
      <c r="D14" s="2"/>
      <c r="E14" s="2"/>
      <c r="F14" s="2"/>
      <c r="G14" s="2"/>
      <c r="H14" s="2"/>
    </row>
    <row r="15" spans="3:11" x14ac:dyDescent="0.2">
      <c r="C15" s="1" t="s">
        <v>8</v>
      </c>
      <c r="D15" s="1" t="s">
        <v>102</v>
      </c>
      <c r="E15" s="1" t="s">
        <v>103</v>
      </c>
      <c r="F15" s="1" t="s">
        <v>105</v>
      </c>
    </row>
    <row r="16" spans="3:11" x14ac:dyDescent="0.2">
      <c r="C16" s="17">
        <v>43623</v>
      </c>
      <c r="D16" s="1">
        <v>3.082E-2</v>
      </c>
      <c r="E16" s="1">
        <v>100021.27</v>
      </c>
      <c r="F16" s="1">
        <v>3201744.58</v>
      </c>
    </row>
    <row r="17" spans="3:6" x14ac:dyDescent="0.2">
      <c r="C17" s="17">
        <v>43625</v>
      </c>
      <c r="D17" s="1">
        <v>3.091E-2</v>
      </c>
      <c r="E17" s="1">
        <v>112276.15</v>
      </c>
      <c r="F17" s="1">
        <v>3674605.9</v>
      </c>
    </row>
    <row r="18" spans="3:6" x14ac:dyDescent="0.2">
      <c r="C18" s="17">
        <v>43627</v>
      </c>
      <c r="D18" s="1">
        <v>3.2169999999999997E-2</v>
      </c>
      <c r="E18" s="1">
        <v>111187.92</v>
      </c>
      <c r="F18" s="1">
        <v>3571192.75</v>
      </c>
    </row>
    <row r="19" spans="3:6" x14ac:dyDescent="0.2">
      <c r="C19" s="17">
        <v>43629</v>
      </c>
      <c r="D19" s="1">
        <v>3.0339999999999999E-2</v>
      </c>
      <c r="E19" s="1">
        <v>119891.69</v>
      </c>
      <c r="F19" s="1">
        <v>3846909.44</v>
      </c>
    </row>
    <row r="20" spans="3:6" x14ac:dyDescent="0.2">
      <c r="C20" s="17">
        <v>43631</v>
      </c>
      <c r="D20" s="1">
        <v>2.9899999999999999E-2</v>
      </c>
      <c r="E20" s="1">
        <v>108931.93</v>
      </c>
      <c r="F20" s="1">
        <v>3616063.83</v>
      </c>
    </row>
    <row r="21" spans="3:6" x14ac:dyDescent="0.2">
      <c r="C21" s="17">
        <v>43633</v>
      </c>
      <c r="D21" s="1">
        <v>2.9309999999999999E-2</v>
      </c>
      <c r="E21" s="1">
        <v>23233.69</v>
      </c>
      <c r="F21" s="1">
        <v>787947.6</v>
      </c>
    </row>
    <row r="22" spans="3:6" x14ac:dyDescent="0.2">
      <c r="C22" s="17"/>
    </row>
    <row r="23" spans="3:6" x14ac:dyDescent="0.2">
      <c r="C23" s="17"/>
    </row>
    <row r="24" spans="3:6" x14ac:dyDescent="0.2">
      <c r="C24" s="17"/>
    </row>
    <row r="25" spans="3:6" x14ac:dyDescent="0.2">
      <c r="C25" s="17"/>
    </row>
    <row r="26" spans="3:6" x14ac:dyDescent="0.2">
      <c r="C26" s="17"/>
    </row>
    <row r="27" spans="3:6" x14ac:dyDescent="0.2">
      <c r="C27" s="17"/>
    </row>
    <row r="28" spans="3:6" x14ac:dyDescent="0.2">
      <c r="C28" s="17"/>
    </row>
    <row r="29" spans="3:6" x14ac:dyDescent="0.2">
      <c r="C29" s="17"/>
    </row>
    <row r="30" spans="3:6" x14ac:dyDescent="0.2">
      <c r="C30" s="17"/>
    </row>
    <row r="31" spans="3:6" x14ac:dyDescent="0.2">
      <c r="C31" s="17"/>
    </row>
    <row r="32" spans="3:6" x14ac:dyDescent="0.2">
      <c r="C32" s="17"/>
    </row>
    <row r="33" spans="3:3" x14ac:dyDescent="0.2">
      <c r="C33" s="17"/>
    </row>
    <row r="34" spans="3:3" x14ac:dyDescent="0.2">
      <c r="C34" s="17"/>
    </row>
    <row r="35" spans="3:3" x14ac:dyDescent="0.2">
      <c r="C35" s="17"/>
    </row>
    <row r="36" spans="3:3" x14ac:dyDescent="0.2">
      <c r="C36" s="17"/>
    </row>
    <row r="37" spans="3:3" x14ac:dyDescent="0.2">
      <c r="C37" s="17"/>
    </row>
    <row r="38" spans="3:3" x14ac:dyDescent="0.2">
      <c r="C38" s="17"/>
    </row>
    <row r="39" spans="3:3" x14ac:dyDescent="0.2">
      <c r="C39" s="17"/>
    </row>
    <row r="40" spans="3:3" x14ac:dyDescent="0.2">
      <c r="C40" s="17"/>
    </row>
    <row r="41" spans="3:3" x14ac:dyDescent="0.2">
      <c r="C41" s="17"/>
    </row>
    <row r="42" spans="3:3" x14ac:dyDescent="0.2">
      <c r="C42" s="17"/>
    </row>
    <row r="43" spans="3:3" x14ac:dyDescent="0.2">
      <c r="C43" s="17"/>
    </row>
    <row r="44" spans="3:3" x14ac:dyDescent="0.2">
      <c r="C44" s="17"/>
    </row>
    <row r="45" spans="3:3" x14ac:dyDescent="0.2">
      <c r="C45" s="17"/>
    </row>
    <row r="46" spans="3:3" x14ac:dyDescent="0.2">
      <c r="C46" s="17"/>
    </row>
    <row r="47" spans="3:3" x14ac:dyDescent="0.2">
      <c r="C47" s="1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8</xdr:col>
                <xdr:colOff>350520</xdr:colOff>
                <xdr:row>11</xdr:row>
                <xdr:rowOff>76200</xdr:rowOff>
              </from>
              <to>
                <xdr:col>12</xdr:col>
                <xdr:colOff>7620</xdr:colOff>
                <xdr:row>14</xdr:row>
                <xdr:rowOff>7620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ShtBinance"/>
  <dimension ref="A2:F195"/>
  <sheetViews>
    <sheetView zoomScaleNormal="100" workbookViewId="0">
      <selection activeCell="C6" sqref="C6"/>
    </sheetView>
  </sheetViews>
  <sheetFormatPr defaultRowHeight="11.4" x14ac:dyDescent="0.2"/>
  <cols>
    <col min="1" max="1" width="3.44140625" style="1" customWidth="1"/>
    <col min="2" max="6" width="23" style="1" customWidth="1"/>
    <col min="7" max="7" width="7" style="1" bestFit="1" customWidth="1"/>
    <col min="8" max="8" width="8.109375" style="1" bestFit="1" customWidth="1"/>
    <col min="9" max="9" width="7.44140625" style="1" bestFit="1" customWidth="1"/>
    <col min="10" max="10" width="9.88671875" style="1" bestFit="1" customWidth="1"/>
    <col min="11" max="11" width="5.88671875" style="1" bestFit="1" customWidth="1"/>
    <col min="12" max="12" width="9.77734375" style="1" bestFit="1" customWidth="1"/>
    <col min="13" max="13" width="10.77734375" style="1" bestFit="1" customWidth="1"/>
    <col min="14" max="16384" width="8.88671875" style="1"/>
  </cols>
  <sheetData>
    <row r="2" spans="1:6" ht="17.399999999999999" x14ac:dyDescent="0.3">
      <c r="B2" s="18" t="s">
        <v>125</v>
      </c>
    </row>
    <row r="3" spans="1:6" x14ac:dyDescent="0.2">
      <c r="B3" s="16" t="s">
        <v>126</v>
      </c>
    </row>
    <row r="4" spans="1:6" x14ac:dyDescent="0.2">
      <c r="B4" s="1" t="s">
        <v>142</v>
      </c>
    </row>
    <row r="6" spans="1:6" x14ac:dyDescent="0.2">
      <c r="B6" s="4" t="s">
        <v>47</v>
      </c>
      <c r="C6" s="19" t="s">
        <v>1240</v>
      </c>
    </row>
    <row r="7" spans="1:6" x14ac:dyDescent="0.2">
      <c r="B7" s="4" t="s">
        <v>48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146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ht="12" thickBot="1" x14ac:dyDescent="0.25">
      <c r="B18" s="20">
        <v>1</v>
      </c>
      <c r="C18" s="21" t="s">
        <v>18</v>
      </c>
      <c r="D18" s="21" t="s">
        <v>49</v>
      </c>
      <c r="E18" s="22">
        <v>1554407800192</v>
      </c>
      <c r="F18" s="23" t="s">
        <v>21</v>
      </c>
    </row>
    <row r="21" spans="1:6" x14ac:dyDescent="0.2">
      <c r="A21" s="4" t="s">
        <v>144</v>
      </c>
    </row>
    <row r="23" spans="1:6" ht="12" thickBot="1" x14ac:dyDescent="0.25">
      <c r="B23" s="2" t="s">
        <v>23</v>
      </c>
      <c r="D23" s="2" t="s">
        <v>50</v>
      </c>
      <c r="E23" s="2"/>
      <c r="F23" s="2"/>
    </row>
    <row r="24" spans="1:6" x14ac:dyDescent="0.2">
      <c r="B24" s="24" t="s">
        <v>49</v>
      </c>
      <c r="D24" s="25" t="s">
        <v>57</v>
      </c>
      <c r="E24" s="29" t="s">
        <v>51</v>
      </c>
      <c r="F24" s="26" t="s">
        <v>306</v>
      </c>
    </row>
    <row r="25" spans="1:6" ht="12" thickBot="1" x14ac:dyDescent="0.25">
      <c r="B25" s="27">
        <v>1554407800192</v>
      </c>
      <c r="D25" s="28">
        <v>1554414998540</v>
      </c>
      <c r="E25" s="22">
        <f>B25-D25</f>
        <v>-7198348</v>
      </c>
      <c r="F25" s="30">
        <f>UnixTimeToDate(D25/1000)</f>
        <v>43559.914340277777</v>
      </c>
    </row>
    <row r="28" spans="1:6" x14ac:dyDescent="0.2">
      <c r="A28" s="4" t="s">
        <v>145</v>
      </c>
    </row>
    <row r="30" spans="1:6" x14ac:dyDescent="0.2">
      <c r="B30" s="2" t="s">
        <v>311</v>
      </c>
      <c r="C30" s="2"/>
      <c r="D30" s="2"/>
      <c r="E30" s="2"/>
      <c r="F30" s="2"/>
    </row>
    <row r="31" spans="1:6" x14ac:dyDescent="0.2">
      <c r="B31" s="1" t="s">
        <v>1</v>
      </c>
      <c r="C31" s="1" t="s">
        <v>6</v>
      </c>
      <c r="D31" s="1" t="s">
        <v>10</v>
      </c>
      <c r="E31" s="1" t="s">
        <v>53</v>
      </c>
      <c r="F31" s="1" t="s">
        <v>54</v>
      </c>
    </row>
    <row r="32" spans="1:6" x14ac:dyDescent="0.2">
      <c r="B32" s="1" t="s">
        <v>52</v>
      </c>
      <c r="C32" s="1">
        <v>1</v>
      </c>
      <c r="D32" s="1" t="s">
        <v>38</v>
      </c>
      <c r="E32" s="1">
        <v>0</v>
      </c>
      <c r="F32" s="1">
        <v>0</v>
      </c>
    </row>
    <row r="33" spans="2:6" x14ac:dyDescent="0.2">
      <c r="B33" s="1" t="s">
        <v>52</v>
      </c>
      <c r="C33" s="1">
        <v>2</v>
      </c>
      <c r="D33" s="1" t="s">
        <v>55</v>
      </c>
      <c r="E33" s="1">
        <v>0</v>
      </c>
      <c r="F33" s="1">
        <v>0</v>
      </c>
    </row>
    <row r="34" spans="2:6" x14ac:dyDescent="0.2">
      <c r="B34" s="1" t="s">
        <v>52</v>
      </c>
      <c r="C34" s="1">
        <v>3</v>
      </c>
      <c r="D34" s="1" t="s">
        <v>56</v>
      </c>
      <c r="E34" s="1">
        <v>0</v>
      </c>
      <c r="F34" s="1">
        <v>0</v>
      </c>
    </row>
    <row r="35" spans="2:6" x14ac:dyDescent="0.2">
      <c r="B35" s="1" t="s">
        <v>52</v>
      </c>
      <c r="C35" s="1">
        <v>4</v>
      </c>
      <c r="D35" s="1" t="s">
        <v>147</v>
      </c>
      <c r="E35" s="1">
        <v>0</v>
      </c>
      <c r="F35" s="1">
        <v>0</v>
      </c>
    </row>
    <row r="36" spans="2:6" x14ac:dyDescent="0.2">
      <c r="B36" s="1" t="s">
        <v>52</v>
      </c>
      <c r="C36" s="1">
        <v>5</v>
      </c>
      <c r="D36" s="1" t="s">
        <v>148</v>
      </c>
      <c r="E36" s="1">
        <v>0</v>
      </c>
      <c r="F36" s="1">
        <v>0</v>
      </c>
    </row>
    <row r="37" spans="2:6" x14ac:dyDescent="0.2">
      <c r="B37" s="1" t="s">
        <v>52</v>
      </c>
      <c r="C37" s="1">
        <v>6</v>
      </c>
      <c r="D37" s="1" t="s">
        <v>149</v>
      </c>
      <c r="E37" s="1">
        <v>0</v>
      </c>
      <c r="F37" s="1">
        <v>0</v>
      </c>
    </row>
    <row r="38" spans="2:6" x14ac:dyDescent="0.2">
      <c r="B38" s="1" t="s">
        <v>52</v>
      </c>
      <c r="C38" s="1">
        <v>7</v>
      </c>
      <c r="D38" s="1" t="s">
        <v>150</v>
      </c>
      <c r="E38" s="1">
        <v>0</v>
      </c>
      <c r="F38" s="1">
        <v>0</v>
      </c>
    </row>
    <row r="39" spans="2:6" x14ac:dyDescent="0.2">
      <c r="B39" s="1" t="s">
        <v>52</v>
      </c>
      <c r="C39" s="1">
        <v>8</v>
      </c>
      <c r="D39" s="1" t="s">
        <v>151</v>
      </c>
      <c r="E39" s="1">
        <v>0</v>
      </c>
      <c r="F39" s="1">
        <v>0</v>
      </c>
    </row>
    <row r="40" spans="2:6" x14ac:dyDescent="0.2">
      <c r="B40" s="1" t="s">
        <v>52</v>
      </c>
      <c r="C40" s="1">
        <v>9</v>
      </c>
      <c r="D40" s="1" t="s">
        <v>152</v>
      </c>
      <c r="E40" s="1">
        <v>0</v>
      </c>
      <c r="F40" s="1">
        <v>0</v>
      </c>
    </row>
    <row r="41" spans="2:6" x14ac:dyDescent="0.2">
      <c r="B41" s="1" t="s">
        <v>52</v>
      </c>
      <c r="C41" s="1">
        <v>10</v>
      </c>
      <c r="D41" s="1" t="s">
        <v>109</v>
      </c>
      <c r="E41" s="1">
        <v>0</v>
      </c>
      <c r="F41" s="1">
        <v>0</v>
      </c>
    </row>
    <row r="42" spans="2:6" x14ac:dyDescent="0.2">
      <c r="B42" s="1" t="s">
        <v>52</v>
      </c>
      <c r="C42" s="1">
        <v>11</v>
      </c>
      <c r="D42" s="1" t="s">
        <v>153</v>
      </c>
      <c r="E42" s="1">
        <v>0</v>
      </c>
      <c r="F42" s="1">
        <v>0</v>
      </c>
    </row>
    <row r="43" spans="2:6" x14ac:dyDescent="0.2">
      <c r="B43" s="1" t="s">
        <v>52</v>
      </c>
      <c r="C43" s="1">
        <v>12</v>
      </c>
      <c r="D43" s="1" t="s">
        <v>154</v>
      </c>
      <c r="E43" s="1">
        <v>0</v>
      </c>
      <c r="F43" s="1">
        <v>0</v>
      </c>
    </row>
    <row r="44" spans="2:6" x14ac:dyDescent="0.2">
      <c r="B44" s="1" t="s">
        <v>52</v>
      </c>
      <c r="C44" s="1">
        <v>13</v>
      </c>
      <c r="D44" s="1" t="s">
        <v>155</v>
      </c>
      <c r="E44" s="1">
        <v>0</v>
      </c>
      <c r="F44" s="1">
        <v>0</v>
      </c>
    </row>
    <row r="45" spans="2:6" x14ac:dyDescent="0.2">
      <c r="B45" s="1" t="s">
        <v>52</v>
      </c>
      <c r="C45" s="1">
        <v>14</v>
      </c>
      <c r="D45" s="1" t="s">
        <v>156</v>
      </c>
      <c r="E45" s="1">
        <v>0</v>
      </c>
      <c r="F45" s="1">
        <v>0</v>
      </c>
    </row>
    <row r="46" spans="2:6" x14ac:dyDescent="0.2">
      <c r="B46" s="1" t="s">
        <v>52</v>
      </c>
      <c r="C46" s="1">
        <v>15</v>
      </c>
      <c r="D46" s="1" t="s">
        <v>157</v>
      </c>
      <c r="E46" s="1">
        <v>0</v>
      </c>
      <c r="F46" s="1">
        <v>0</v>
      </c>
    </row>
    <row r="47" spans="2:6" x14ac:dyDescent="0.2">
      <c r="B47" s="1" t="s">
        <v>52</v>
      </c>
      <c r="C47" s="1">
        <v>16</v>
      </c>
      <c r="D47" s="1" t="s">
        <v>158</v>
      </c>
      <c r="E47" s="1">
        <v>0</v>
      </c>
      <c r="F47" s="1">
        <v>0</v>
      </c>
    </row>
    <row r="48" spans="2:6" x14ac:dyDescent="0.2">
      <c r="B48" s="1" t="s">
        <v>52</v>
      </c>
      <c r="C48" s="1">
        <v>17</v>
      </c>
      <c r="D48" s="1" t="s">
        <v>159</v>
      </c>
      <c r="E48" s="1">
        <v>0</v>
      </c>
      <c r="F48" s="1">
        <v>0</v>
      </c>
    </row>
    <row r="49" spans="2:6" x14ac:dyDescent="0.2">
      <c r="B49" s="1" t="s">
        <v>52</v>
      </c>
      <c r="C49" s="1">
        <v>18</v>
      </c>
      <c r="D49" s="1" t="s">
        <v>160</v>
      </c>
      <c r="E49" s="1">
        <v>0</v>
      </c>
      <c r="F49" s="1">
        <v>0</v>
      </c>
    </row>
    <row r="50" spans="2:6" x14ac:dyDescent="0.2">
      <c r="B50" s="1" t="s">
        <v>52</v>
      </c>
      <c r="C50" s="1">
        <v>19</v>
      </c>
      <c r="D50" s="1" t="s">
        <v>161</v>
      </c>
      <c r="E50" s="1">
        <v>0</v>
      </c>
      <c r="F50" s="1">
        <v>0</v>
      </c>
    </row>
    <row r="51" spans="2:6" x14ac:dyDescent="0.2">
      <c r="B51" s="1" t="s">
        <v>52</v>
      </c>
      <c r="C51" s="1">
        <v>20</v>
      </c>
      <c r="D51" s="1" t="s">
        <v>162</v>
      </c>
      <c r="E51" s="1">
        <v>0</v>
      </c>
      <c r="F51" s="1">
        <v>0</v>
      </c>
    </row>
    <row r="52" spans="2:6" x14ac:dyDescent="0.2">
      <c r="B52" s="1" t="s">
        <v>52</v>
      </c>
      <c r="C52" s="1">
        <v>21</v>
      </c>
      <c r="D52" s="1" t="s">
        <v>163</v>
      </c>
      <c r="E52" s="1">
        <v>0</v>
      </c>
      <c r="F52" s="1">
        <v>0</v>
      </c>
    </row>
    <row r="53" spans="2:6" x14ac:dyDescent="0.2">
      <c r="B53" s="1" t="s">
        <v>52</v>
      </c>
      <c r="C53" s="1">
        <v>22</v>
      </c>
      <c r="D53" s="1" t="s">
        <v>164</v>
      </c>
      <c r="E53" s="1">
        <v>0</v>
      </c>
      <c r="F53" s="1">
        <v>0</v>
      </c>
    </row>
    <row r="54" spans="2:6" x14ac:dyDescent="0.2">
      <c r="B54" s="1" t="s">
        <v>52</v>
      </c>
      <c r="C54" s="1">
        <v>23</v>
      </c>
      <c r="D54" s="1" t="s">
        <v>165</v>
      </c>
      <c r="E54" s="1">
        <v>0</v>
      </c>
      <c r="F54" s="1">
        <v>0</v>
      </c>
    </row>
    <row r="55" spans="2:6" x14ac:dyDescent="0.2">
      <c r="B55" s="1" t="s">
        <v>52</v>
      </c>
      <c r="C55" s="1">
        <v>24</v>
      </c>
      <c r="D55" s="1" t="s">
        <v>166</v>
      </c>
      <c r="E55" s="1">
        <v>0</v>
      </c>
      <c r="F55" s="1">
        <v>0</v>
      </c>
    </row>
    <row r="56" spans="2:6" x14ac:dyDescent="0.2">
      <c r="B56" s="1" t="s">
        <v>52</v>
      </c>
      <c r="C56" s="1">
        <v>25</v>
      </c>
      <c r="D56" s="1" t="s">
        <v>167</v>
      </c>
      <c r="E56" s="1">
        <v>0</v>
      </c>
      <c r="F56" s="1">
        <v>0</v>
      </c>
    </row>
    <row r="57" spans="2:6" x14ac:dyDescent="0.2">
      <c r="B57" s="1" t="s">
        <v>52</v>
      </c>
      <c r="C57" s="1">
        <v>26</v>
      </c>
      <c r="D57" s="1" t="s">
        <v>168</v>
      </c>
      <c r="E57" s="1">
        <v>0</v>
      </c>
      <c r="F57" s="1">
        <v>0</v>
      </c>
    </row>
    <row r="58" spans="2:6" x14ac:dyDescent="0.2">
      <c r="B58" s="1" t="s">
        <v>52</v>
      </c>
      <c r="C58" s="1">
        <v>27</v>
      </c>
      <c r="D58" s="1" t="s">
        <v>169</v>
      </c>
      <c r="E58" s="1">
        <v>0</v>
      </c>
      <c r="F58" s="1">
        <v>0</v>
      </c>
    </row>
    <row r="59" spans="2:6" x14ac:dyDescent="0.2">
      <c r="B59" s="1" t="s">
        <v>52</v>
      </c>
      <c r="C59" s="1">
        <v>28</v>
      </c>
      <c r="D59" s="1" t="s">
        <v>170</v>
      </c>
      <c r="E59" s="1">
        <v>0</v>
      </c>
      <c r="F59" s="1">
        <v>0</v>
      </c>
    </row>
    <row r="60" spans="2:6" x14ac:dyDescent="0.2">
      <c r="B60" s="1" t="s">
        <v>52</v>
      </c>
      <c r="C60" s="1">
        <v>29</v>
      </c>
      <c r="D60" s="1" t="s">
        <v>171</v>
      </c>
      <c r="E60" s="1">
        <v>0</v>
      </c>
      <c r="F60" s="1">
        <v>0</v>
      </c>
    </row>
    <row r="61" spans="2:6" x14ac:dyDescent="0.2">
      <c r="B61" s="1" t="s">
        <v>52</v>
      </c>
      <c r="C61" s="1">
        <v>30</v>
      </c>
      <c r="D61" s="1" t="s">
        <v>172</v>
      </c>
      <c r="E61" s="1">
        <v>0</v>
      </c>
      <c r="F61" s="1">
        <v>0</v>
      </c>
    </row>
    <row r="62" spans="2:6" x14ac:dyDescent="0.2">
      <c r="B62" s="1" t="s">
        <v>52</v>
      </c>
      <c r="C62" s="1">
        <v>31</v>
      </c>
      <c r="D62" s="1" t="s">
        <v>173</v>
      </c>
      <c r="E62" s="1">
        <v>0</v>
      </c>
      <c r="F62" s="1">
        <v>0</v>
      </c>
    </row>
    <row r="63" spans="2:6" x14ac:dyDescent="0.2">
      <c r="B63" s="1" t="s">
        <v>52</v>
      </c>
      <c r="C63" s="1">
        <v>32</v>
      </c>
      <c r="D63" s="1" t="s">
        <v>174</v>
      </c>
      <c r="E63" s="1">
        <v>0</v>
      </c>
      <c r="F63" s="1">
        <v>0</v>
      </c>
    </row>
    <row r="64" spans="2:6" x14ac:dyDescent="0.2">
      <c r="B64" s="1" t="s">
        <v>52</v>
      </c>
      <c r="C64" s="1">
        <v>33</v>
      </c>
      <c r="D64" s="1" t="s">
        <v>175</v>
      </c>
      <c r="E64" s="1">
        <v>0</v>
      </c>
      <c r="F64" s="1">
        <v>0</v>
      </c>
    </row>
    <row r="65" spans="2:6" x14ac:dyDescent="0.2">
      <c r="B65" s="1" t="s">
        <v>52</v>
      </c>
      <c r="C65" s="1">
        <v>34</v>
      </c>
      <c r="D65" s="1" t="s">
        <v>176</v>
      </c>
      <c r="E65" s="1">
        <v>0</v>
      </c>
      <c r="F65" s="1">
        <v>0</v>
      </c>
    </row>
    <row r="66" spans="2:6" x14ac:dyDescent="0.2">
      <c r="B66" s="1" t="s">
        <v>52</v>
      </c>
      <c r="C66" s="1">
        <v>35</v>
      </c>
      <c r="D66" s="1" t="s">
        <v>177</v>
      </c>
      <c r="E66" s="1">
        <v>0</v>
      </c>
      <c r="F66" s="1">
        <v>0</v>
      </c>
    </row>
    <row r="67" spans="2:6" x14ac:dyDescent="0.2">
      <c r="B67" s="1" t="s">
        <v>52</v>
      </c>
      <c r="C67" s="1">
        <v>36</v>
      </c>
      <c r="D67" s="1" t="s">
        <v>178</v>
      </c>
      <c r="E67" s="1">
        <v>0</v>
      </c>
      <c r="F67" s="1">
        <v>0</v>
      </c>
    </row>
    <row r="68" spans="2:6" x14ac:dyDescent="0.2">
      <c r="B68" s="1" t="s">
        <v>52</v>
      </c>
      <c r="C68" s="1">
        <v>37</v>
      </c>
      <c r="D68" s="1" t="s">
        <v>179</v>
      </c>
      <c r="E68" s="1">
        <v>0</v>
      </c>
      <c r="F68" s="1">
        <v>0</v>
      </c>
    </row>
    <row r="69" spans="2:6" x14ac:dyDescent="0.2">
      <c r="B69" s="1" t="s">
        <v>52</v>
      </c>
      <c r="C69" s="1">
        <v>38</v>
      </c>
      <c r="D69" s="1" t="s">
        <v>180</v>
      </c>
      <c r="E69" s="1">
        <v>0</v>
      </c>
      <c r="F69" s="1">
        <v>0</v>
      </c>
    </row>
    <row r="70" spans="2:6" x14ac:dyDescent="0.2">
      <c r="B70" s="1" t="s">
        <v>52</v>
      </c>
      <c r="C70" s="1">
        <v>39</v>
      </c>
      <c r="D70" s="1" t="s">
        <v>181</v>
      </c>
      <c r="E70" s="1">
        <v>0</v>
      </c>
      <c r="F70" s="1">
        <v>0</v>
      </c>
    </row>
    <row r="71" spans="2:6" x14ac:dyDescent="0.2">
      <c r="B71" s="1" t="s">
        <v>52</v>
      </c>
      <c r="C71" s="1">
        <v>40</v>
      </c>
      <c r="D71" s="1" t="s">
        <v>182</v>
      </c>
      <c r="E71" s="1">
        <v>0</v>
      </c>
      <c r="F71" s="1">
        <v>0</v>
      </c>
    </row>
    <row r="72" spans="2:6" x14ac:dyDescent="0.2">
      <c r="B72" s="1" t="s">
        <v>52</v>
      </c>
      <c r="C72" s="1">
        <v>41</v>
      </c>
      <c r="D72" s="1" t="s">
        <v>183</v>
      </c>
      <c r="E72" s="1">
        <v>0</v>
      </c>
      <c r="F72" s="1">
        <v>0</v>
      </c>
    </row>
    <row r="73" spans="2:6" x14ac:dyDescent="0.2">
      <c r="B73" s="1" t="s">
        <v>52</v>
      </c>
      <c r="C73" s="1">
        <v>42</v>
      </c>
      <c r="D73" s="1" t="s">
        <v>184</v>
      </c>
      <c r="E73" s="1">
        <v>0</v>
      </c>
      <c r="F73" s="1">
        <v>0</v>
      </c>
    </row>
    <row r="74" spans="2:6" x14ac:dyDescent="0.2">
      <c r="B74" s="1" t="s">
        <v>52</v>
      </c>
      <c r="C74" s="1">
        <v>43</v>
      </c>
      <c r="D74" s="1" t="s">
        <v>185</v>
      </c>
      <c r="E74" s="1">
        <v>0</v>
      </c>
      <c r="F74" s="1">
        <v>0</v>
      </c>
    </row>
    <row r="75" spans="2:6" x14ac:dyDescent="0.2">
      <c r="B75" s="1" t="s">
        <v>52</v>
      </c>
      <c r="C75" s="1">
        <v>44</v>
      </c>
      <c r="D75" s="1" t="s">
        <v>186</v>
      </c>
      <c r="E75" s="1">
        <v>0</v>
      </c>
      <c r="F75" s="1">
        <v>0</v>
      </c>
    </row>
    <row r="76" spans="2:6" x14ac:dyDescent="0.2">
      <c r="B76" s="1" t="s">
        <v>52</v>
      </c>
      <c r="C76" s="1">
        <v>45</v>
      </c>
      <c r="D76" s="1" t="s">
        <v>187</v>
      </c>
      <c r="E76" s="1">
        <v>0</v>
      </c>
      <c r="F76" s="1">
        <v>0</v>
      </c>
    </row>
    <row r="77" spans="2:6" x14ac:dyDescent="0.2">
      <c r="B77" s="1" t="s">
        <v>52</v>
      </c>
      <c r="C77" s="1">
        <v>46</v>
      </c>
      <c r="D77" s="1" t="s">
        <v>188</v>
      </c>
      <c r="E77" s="1">
        <v>0</v>
      </c>
      <c r="F77" s="1">
        <v>0</v>
      </c>
    </row>
    <row r="78" spans="2:6" x14ac:dyDescent="0.2">
      <c r="B78" s="1" t="s">
        <v>52</v>
      </c>
      <c r="C78" s="1">
        <v>47</v>
      </c>
      <c r="D78" s="1" t="s">
        <v>189</v>
      </c>
      <c r="E78" s="1">
        <v>0</v>
      </c>
      <c r="F78" s="1">
        <v>0</v>
      </c>
    </row>
    <row r="79" spans="2:6" x14ac:dyDescent="0.2">
      <c r="B79" s="1" t="s">
        <v>52</v>
      </c>
      <c r="C79" s="1">
        <v>48</v>
      </c>
      <c r="D79" s="1" t="s">
        <v>190</v>
      </c>
      <c r="E79" s="1">
        <v>0</v>
      </c>
      <c r="F79" s="1">
        <v>0</v>
      </c>
    </row>
    <row r="80" spans="2:6" x14ac:dyDescent="0.2">
      <c r="B80" s="1" t="s">
        <v>52</v>
      </c>
      <c r="C80" s="1">
        <v>49</v>
      </c>
      <c r="D80" s="1" t="s">
        <v>191</v>
      </c>
      <c r="E80" s="1">
        <v>0</v>
      </c>
      <c r="F80" s="1">
        <v>0</v>
      </c>
    </row>
    <row r="81" spans="2:6" x14ac:dyDescent="0.2">
      <c r="B81" s="1" t="s">
        <v>52</v>
      </c>
      <c r="C81" s="1">
        <v>50</v>
      </c>
      <c r="D81" s="1" t="s">
        <v>192</v>
      </c>
      <c r="E81" s="1">
        <v>0</v>
      </c>
      <c r="F81" s="1">
        <v>0</v>
      </c>
    </row>
    <row r="82" spans="2:6" x14ac:dyDescent="0.2">
      <c r="B82" s="1" t="s">
        <v>52</v>
      </c>
      <c r="C82" s="1">
        <v>51</v>
      </c>
      <c r="D82" s="1" t="s">
        <v>193</v>
      </c>
      <c r="E82" s="1">
        <v>0</v>
      </c>
      <c r="F82" s="1">
        <v>0</v>
      </c>
    </row>
    <row r="83" spans="2:6" x14ac:dyDescent="0.2">
      <c r="B83" s="1" t="s">
        <v>52</v>
      </c>
      <c r="C83" s="1">
        <v>52</v>
      </c>
      <c r="D83" s="1" t="s">
        <v>194</v>
      </c>
      <c r="E83" s="1">
        <v>0</v>
      </c>
      <c r="F83" s="1">
        <v>0</v>
      </c>
    </row>
    <row r="84" spans="2:6" x14ac:dyDescent="0.2">
      <c r="B84" s="1" t="s">
        <v>52</v>
      </c>
      <c r="C84" s="1">
        <v>53</v>
      </c>
      <c r="D84" s="1" t="s">
        <v>195</v>
      </c>
      <c r="E84" s="1">
        <v>0</v>
      </c>
      <c r="F84" s="1">
        <v>0</v>
      </c>
    </row>
    <row r="85" spans="2:6" x14ac:dyDescent="0.2">
      <c r="B85" s="1" t="s">
        <v>52</v>
      </c>
      <c r="C85" s="1">
        <v>54</v>
      </c>
      <c r="D85" s="1" t="s">
        <v>196</v>
      </c>
      <c r="E85" s="1">
        <v>0</v>
      </c>
      <c r="F85" s="1">
        <v>0</v>
      </c>
    </row>
    <row r="86" spans="2:6" x14ac:dyDescent="0.2">
      <c r="B86" s="1" t="s">
        <v>52</v>
      </c>
      <c r="C86" s="1">
        <v>55</v>
      </c>
      <c r="D86" s="1" t="s">
        <v>197</v>
      </c>
      <c r="E86" s="1">
        <v>0</v>
      </c>
      <c r="F86" s="1">
        <v>0</v>
      </c>
    </row>
    <row r="87" spans="2:6" x14ac:dyDescent="0.2">
      <c r="B87" s="1" t="s">
        <v>52</v>
      </c>
      <c r="C87" s="1">
        <v>56</v>
      </c>
      <c r="D87" s="1" t="s">
        <v>198</v>
      </c>
      <c r="E87" s="1">
        <v>0</v>
      </c>
      <c r="F87" s="1">
        <v>0</v>
      </c>
    </row>
    <row r="88" spans="2:6" x14ac:dyDescent="0.2">
      <c r="B88" s="1" t="s">
        <v>52</v>
      </c>
      <c r="C88" s="1">
        <v>57</v>
      </c>
      <c r="D88" s="1" t="s">
        <v>199</v>
      </c>
      <c r="E88" s="1">
        <v>0</v>
      </c>
      <c r="F88" s="1">
        <v>0</v>
      </c>
    </row>
    <row r="89" spans="2:6" x14ac:dyDescent="0.2">
      <c r="B89" s="1" t="s">
        <v>52</v>
      </c>
      <c r="C89" s="1">
        <v>58</v>
      </c>
      <c r="D89" s="1" t="s">
        <v>200</v>
      </c>
      <c r="E89" s="1">
        <v>0</v>
      </c>
      <c r="F89" s="1">
        <v>0</v>
      </c>
    </row>
    <row r="90" spans="2:6" x14ac:dyDescent="0.2">
      <c r="B90" s="1" t="s">
        <v>52</v>
      </c>
      <c r="C90" s="1">
        <v>59</v>
      </c>
      <c r="D90" s="1" t="s">
        <v>201</v>
      </c>
      <c r="E90" s="1">
        <v>0</v>
      </c>
      <c r="F90" s="1">
        <v>0</v>
      </c>
    </row>
    <row r="91" spans="2:6" x14ac:dyDescent="0.2">
      <c r="B91" s="1" t="s">
        <v>52</v>
      </c>
      <c r="C91" s="1">
        <v>60</v>
      </c>
      <c r="D91" s="1" t="s">
        <v>202</v>
      </c>
      <c r="E91" s="1">
        <v>0</v>
      </c>
      <c r="F91" s="1">
        <v>0</v>
      </c>
    </row>
    <row r="92" spans="2:6" x14ac:dyDescent="0.2">
      <c r="B92" s="1" t="s">
        <v>52</v>
      </c>
      <c r="C92" s="1">
        <v>61</v>
      </c>
      <c r="D92" s="1" t="s">
        <v>203</v>
      </c>
      <c r="E92" s="1">
        <v>0</v>
      </c>
      <c r="F92" s="1">
        <v>0</v>
      </c>
    </row>
    <row r="93" spans="2:6" x14ac:dyDescent="0.2">
      <c r="B93" s="1" t="s">
        <v>52</v>
      </c>
      <c r="C93" s="1">
        <v>62</v>
      </c>
      <c r="D93" s="1" t="s">
        <v>204</v>
      </c>
      <c r="E93" s="1">
        <v>0</v>
      </c>
      <c r="F93" s="1">
        <v>0</v>
      </c>
    </row>
    <row r="94" spans="2:6" x14ac:dyDescent="0.2">
      <c r="B94" s="1" t="s">
        <v>52</v>
      </c>
      <c r="C94" s="1">
        <v>63</v>
      </c>
      <c r="D94" s="1" t="s">
        <v>205</v>
      </c>
      <c r="E94" s="1">
        <v>0</v>
      </c>
      <c r="F94" s="1">
        <v>0</v>
      </c>
    </row>
    <row r="95" spans="2:6" x14ac:dyDescent="0.2">
      <c r="B95" s="1" t="s">
        <v>52</v>
      </c>
      <c r="C95" s="1">
        <v>64</v>
      </c>
      <c r="D95" s="1" t="s">
        <v>206</v>
      </c>
      <c r="E95" s="1">
        <v>0</v>
      </c>
      <c r="F95" s="1">
        <v>0</v>
      </c>
    </row>
    <row r="96" spans="2:6" x14ac:dyDescent="0.2">
      <c r="B96" s="1" t="s">
        <v>52</v>
      </c>
      <c r="C96" s="1">
        <v>65</v>
      </c>
      <c r="D96" s="1" t="s">
        <v>207</v>
      </c>
      <c r="E96" s="1">
        <v>0</v>
      </c>
      <c r="F96" s="1">
        <v>0</v>
      </c>
    </row>
    <row r="97" spans="2:6" x14ac:dyDescent="0.2">
      <c r="B97" s="1" t="s">
        <v>52</v>
      </c>
      <c r="C97" s="1">
        <v>66</v>
      </c>
      <c r="D97" s="1" t="s">
        <v>208</v>
      </c>
      <c r="E97" s="1">
        <v>0</v>
      </c>
      <c r="F97" s="1">
        <v>0</v>
      </c>
    </row>
    <row r="98" spans="2:6" x14ac:dyDescent="0.2">
      <c r="B98" s="1" t="s">
        <v>52</v>
      </c>
      <c r="C98" s="1">
        <v>67</v>
      </c>
      <c r="D98" s="1" t="s">
        <v>209</v>
      </c>
      <c r="E98" s="1">
        <v>0</v>
      </c>
      <c r="F98" s="1">
        <v>0</v>
      </c>
    </row>
    <row r="99" spans="2:6" x14ac:dyDescent="0.2">
      <c r="B99" s="1" t="s">
        <v>52</v>
      </c>
      <c r="C99" s="1">
        <v>68</v>
      </c>
      <c r="D99" s="1" t="s">
        <v>210</v>
      </c>
      <c r="E99" s="1">
        <v>0</v>
      </c>
      <c r="F99" s="1">
        <v>0</v>
      </c>
    </row>
    <row r="100" spans="2:6" x14ac:dyDescent="0.2">
      <c r="B100" s="1" t="s">
        <v>52</v>
      </c>
      <c r="C100" s="1">
        <v>69</v>
      </c>
      <c r="D100" s="1" t="s">
        <v>211</v>
      </c>
      <c r="E100" s="1">
        <v>0</v>
      </c>
      <c r="F100" s="1">
        <v>0</v>
      </c>
    </row>
    <row r="101" spans="2:6" x14ac:dyDescent="0.2">
      <c r="B101" s="1" t="s">
        <v>52</v>
      </c>
      <c r="C101" s="1">
        <v>70</v>
      </c>
      <c r="D101" s="1" t="s">
        <v>212</v>
      </c>
      <c r="E101" s="1">
        <v>0</v>
      </c>
      <c r="F101" s="1">
        <v>0</v>
      </c>
    </row>
    <row r="102" spans="2:6" x14ac:dyDescent="0.2">
      <c r="B102" s="1" t="s">
        <v>52</v>
      </c>
      <c r="C102" s="1">
        <v>71</v>
      </c>
      <c r="D102" s="1" t="s">
        <v>213</v>
      </c>
      <c r="E102" s="1">
        <v>0</v>
      </c>
      <c r="F102" s="1">
        <v>0</v>
      </c>
    </row>
    <row r="103" spans="2:6" x14ac:dyDescent="0.2">
      <c r="B103" s="1" t="s">
        <v>52</v>
      </c>
      <c r="C103" s="1">
        <v>72</v>
      </c>
      <c r="D103" s="1" t="s">
        <v>214</v>
      </c>
      <c r="E103" s="1">
        <v>0</v>
      </c>
      <c r="F103" s="1">
        <v>0</v>
      </c>
    </row>
    <row r="104" spans="2:6" x14ac:dyDescent="0.2">
      <c r="B104" s="1" t="s">
        <v>52</v>
      </c>
      <c r="C104" s="1">
        <v>73</v>
      </c>
      <c r="D104" s="1" t="s">
        <v>215</v>
      </c>
      <c r="E104" s="1">
        <v>0</v>
      </c>
      <c r="F104" s="1">
        <v>0</v>
      </c>
    </row>
    <row r="105" spans="2:6" x14ac:dyDescent="0.2">
      <c r="B105" s="1" t="s">
        <v>52</v>
      </c>
      <c r="C105" s="1">
        <v>74</v>
      </c>
      <c r="D105" s="1" t="s">
        <v>216</v>
      </c>
      <c r="E105" s="1">
        <v>0</v>
      </c>
      <c r="F105" s="1">
        <v>0</v>
      </c>
    </row>
    <row r="106" spans="2:6" x14ac:dyDescent="0.2">
      <c r="B106" s="1" t="s">
        <v>52</v>
      </c>
      <c r="C106" s="1">
        <v>75</v>
      </c>
      <c r="D106" s="1" t="s">
        <v>217</v>
      </c>
      <c r="E106" s="1">
        <v>0</v>
      </c>
      <c r="F106" s="1">
        <v>0</v>
      </c>
    </row>
    <row r="107" spans="2:6" x14ac:dyDescent="0.2">
      <c r="B107" s="1" t="s">
        <v>52</v>
      </c>
      <c r="C107" s="1">
        <v>76</v>
      </c>
      <c r="D107" s="1" t="s">
        <v>218</v>
      </c>
      <c r="E107" s="1">
        <v>0</v>
      </c>
      <c r="F107" s="1">
        <v>0</v>
      </c>
    </row>
    <row r="108" spans="2:6" x14ac:dyDescent="0.2">
      <c r="B108" s="1" t="s">
        <v>52</v>
      </c>
      <c r="C108" s="1">
        <v>77</v>
      </c>
      <c r="D108" s="1" t="s">
        <v>219</v>
      </c>
      <c r="E108" s="1">
        <v>0</v>
      </c>
      <c r="F108" s="1">
        <v>0</v>
      </c>
    </row>
    <row r="109" spans="2:6" x14ac:dyDescent="0.2">
      <c r="B109" s="1" t="s">
        <v>52</v>
      </c>
      <c r="C109" s="1">
        <v>78</v>
      </c>
      <c r="D109" s="1" t="s">
        <v>220</v>
      </c>
      <c r="E109" s="1">
        <v>0</v>
      </c>
      <c r="F109" s="1">
        <v>0</v>
      </c>
    </row>
    <row r="110" spans="2:6" x14ac:dyDescent="0.2">
      <c r="B110" s="1" t="s">
        <v>52</v>
      </c>
      <c r="C110" s="1">
        <v>79</v>
      </c>
      <c r="D110" s="1" t="s">
        <v>221</v>
      </c>
      <c r="E110" s="1">
        <v>0</v>
      </c>
      <c r="F110" s="1">
        <v>0</v>
      </c>
    </row>
    <row r="111" spans="2:6" x14ac:dyDescent="0.2">
      <c r="B111" s="1" t="s">
        <v>52</v>
      </c>
      <c r="C111" s="1">
        <v>80</v>
      </c>
      <c r="D111" s="1" t="s">
        <v>222</v>
      </c>
      <c r="E111" s="1">
        <v>0</v>
      </c>
      <c r="F111" s="1">
        <v>0</v>
      </c>
    </row>
    <row r="112" spans="2:6" x14ac:dyDescent="0.2">
      <c r="B112" s="1" t="s">
        <v>52</v>
      </c>
      <c r="C112" s="1">
        <v>81</v>
      </c>
      <c r="D112" s="1" t="s">
        <v>223</v>
      </c>
      <c r="E112" s="1">
        <v>0</v>
      </c>
      <c r="F112" s="1">
        <v>0</v>
      </c>
    </row>
    <row r="113" spans="2:6" x14ac:dyDescent="0.2">
      <c r="B113" s="1" t="s">
        <v>52</v>
      </c>
      <c r="C113" s="1">
        <v>82</v>
      </c>
      <c r="D113" s="1" t="s">
        <v>224</v>
      </c>
      <c r="E113" s="1">
        <v>0</v>
      </c>
      <c r="F113" s="1">
        <v>0</v>
      </c>
    </row>
    <row r="114" spans="2:6" x14ac:dyDescent="0.2">
      <c r="B114" s="1" t="s">
        <v>52</v>
      </c>
      <c r="C114" s="1">
        <v>83</v>
      </c>
      <c r="D114" s="1" t="s">
        <v>225</v>
      </c>
      <c r="E114" s="1">
        <v>0</v>
      </c>
      <c r="F114" s="1">
        <v>0</v>
      </c>
    </row>
    <row r="115" spans="2:6" x14ac:dyDescent="0.2">
      <c r="B115" s="1" t="s">
        <v>52</v>
      </c>
      <c r="C115" s="1">
        <v>84</v>
      </c>
      <c r="D115" s="1" t="s">
        <v>226</v>
      </c>
      <c r="E115" s="1">
        <v>0</v>
      </c>
      <c r="F115" s="1">
        <v>0</v>
      </c>
    </row>
    <row r="116" spans="2:6" x14ac:dyDescent="0.2">
      <c r="B116" s="1" t="s">
        <v>52</v>
      </c>
      <c r="C116" s="1">
        <v>85</v>
      </c>
      <c r="D116" s="1" t="s">
        <v>227</v>
      </c>
      <c r="E116" s="1">
        <v>0</v>
      </c>
      <c r="F116" s="1">
        <v>0</v>
      </c>
    </row>
    <row r="117" spans="2:6" x14ac:dyDescent="0.2">
      <c r="B117" s="1" t="s">
        <v>52</v>
      </c>
      <c r="C117" s="1">
        <v>86</v>
      </c>
      <c r="D117" s="1" t="s">
        <v>228</v>
      </c>
      <c r="E117" s="1">
        <v>0</v>
      </c>
      <c r="F117" s="1">
        <v>0</v>
      </c>
    </row>
    <row r="118" spans="2:6" x14ac:dyDescent="0.2">
      <c r="B118" s="1" t="s">
        <v>52</v>
      </c>
      <c r="C118" s="1">
        <v>87</v>
      </c>
      <c r="D118" s="1" t="s">
        <v>229</v>
      </c>
      <c r="E118" s="1">
        <v>0</v>
      </c>
      <c r="F118" s="1">
        <v>0</v>
      </c>
    </row>
    <row r="119" spans="2:6" x14ac:dyDescent="0.2">
      <c r="B119" s="1" t="s">
        <v>52</v>
      </c>
      <c r="C119" s="1">
        <v>88</v>
      </c>
      <c r="D119" s="1" t="s">
        <v>230</v>
      </c>
      <c r="E119" s="1">
        <v>0</v>
      </c>
      <c r="F119" s="1">
        <v>0</v>
      </c>
    </row>
    <row r="120" spans="2:6" x14ac:dyDescent="0.2">
      <c r="B120" s="1" t="s">
        <v>52</v>
      </c>
      <c r="C120" s="1">
        <v>89</v>
      </c>
      <c r="D120" s="1" t="s">
        <v>231</v>
      </c>
      <c r="E120" s="1">
        <v>0</v>
      </c>
      <c r="F120" s="1">
        <v>0</v>
      </c>
    </row>
    <row r="121" spans="2:6" x14ac:dyDescent="0.2">
      <c r="B121" s="1" t="s">
        <v>52</v>
      </c>
      <c r="C121" s="1">
        <v>90</v>
      </c>
      <c r="D121" s="1" t="s">
        <v>232</v>
      </c>
      <c r="E121" s="1">
        <v>0</v>
      </c>
      <c r="F121" s="1">
        <v>0</v>
      </c>
    </row>
    <row r="122" spans="2:6" x14ac:dyDescent="0.2">
      <c r="B122" s="1" t="s">
        <v>52</v>
      </c>
      <c r="C122" s="1">
        <v>91</v>
      </c>
      <c r="D122" s="1" t="s">
        <v>233</v>
      </c>
      <c r="E122" s="1">
        <v>0</v>
      </c>
      <c r="F122" s="1">
        <v>0</v>
      </c>
    </row>
    <row r="123" spans="2:6" x14ac:dyDescent="0.2">
      <c r="B123" s="1" t="s">
        <v>52</v>
      </c>
      <c r="C123" s="1">
        <v>92</v>
      </c>
      <c r="D123" s="1" t="s">
        <v>234</v>
      </c>
      <c r="E123" s="1">
        <v>0</v>
      </c>
      <c r="F123" s="1">
        <v>0</v>
      </c>
    </row>
    <row r="124" spans="2:6" x14ac:dyDescent="0.2">
      <c r="B124" s="1" t="s">
        <v>52</v>
      </c>
      <c r="C124" s="1">
        <v>93</v>
      </c>
      <c r="D124" s="1" t="s">
        <v>235</v>
      </c>
      <c r="E124" s="1">
        <v>0</v>
      </c>
      <c r="F124" s="1">
        <v>0</v>
      </c>
    </row>
    <row r="125" spans="2:6" x14ac:dyDescent="0.2">
      <c r="B125" s="1" t="s">
        <v>52</v>
      </c>
      <c r="C125" s="1">
        <v>94</v>
      </c>
      <c r="D125" s="1" t="s">
        <v>236</v>
      </c>
      <c r="E125" s="1">
        <v>0</v>
      </c>
      <c r="F125" s="1">
        <v>0</v>
      </c>
    </row>
    <row r="126" spans="2:6" x14ac:dyDescent="0.2">
      <c r="B126" s="1" t="s">
        <v>52</v>
      </c>
      <c r="C126" s="1">
        <v>95</v>
      </c>
      <c r="D126" s="1" t="s">
        <v>237</v>
      </c>
      <c r="E126" s="1">
        <v>0</v>
      </c>
      <c r="F126" s="1">
        <v>0</v>
      </c>
    </row>
    <row r="127" spans="2:6" x14ac:dyDescent="0.2">
      <c r="B127" s="1" t="s">
        <v>52</v>
      </c>
      <c r="C127" s="1">
        <v>96</v>
      </c>
      <c r="D127" s="1" t="s">
        <v>238</v>
      </c>
      <c r="E127" s="1">
        <v>0</v>
      </c>
      <c r="F127" s="1">
        <v>0</v>
      </c>
    </row>
    <row r="128" spans="2:6" x14ac:dyDescent="0.2">
      <c r="B128" s="1" t="s">
        <v>52</v>
      </c>
      <c r="C128" s="1">
        <v>97</v>
      </c>
      <c r="D128" s="1" t="s">
        <v>239</v>
      </c>
      <c r="E128" s="1">
        <v>0</v>
      </c>
      <c r="F128" s="1">
        <v>0</v>
      </c>
    </row>
    <row r="129" spans="2:6" x14ac:dyDescent="0.2">
      <c r="B129" s="1" t="s">
        <v>52</v>
      </c>
      <c r="C129" s="1">
        <v>98</v>
      </c>
      <c r="D129" s="1" t="s">
        <v>240</v>
      </c>
      <c r="E129" s="1">
        <v>0</v>
      </c>
      <c r="F129" s="1">
        <v>0</v>
      </c>
    </row>
    <row r="130" spans="2:6" x14ac:dyDescent="0.2">
      <c r="B130" s="1" t="s">
        <v>52</v>
      </c>
      <c r="C130" s="1">
        <v>99</v>
      </c>
      <c r="D130" s="1" t="s">
        <v>241</v>
      </c>
      <c r="E130" s="1">
        <v>0</v>
      </c>
      <c r="F130" s="1">
        <v>0</v>
      </c>
    </row>
    <row r="131" spans="2:6" x14ac:dyDescent="0.2">
      <c r="B131" s="1" t="s">
        <v>52</v>
      </c>
      <c r="C131" s="1">
        <v>100</v>
      </c>
      <c r="D131" s="1" t="s">
        <v>242</v>
      </c>
      <c r="E131" s="1">
        <v>0</v>
      </c>
      <c r="F131" s="1">
        <v>0</v>
      </c>
    </row>
    <row r="132" spans="2:6" x14ac:dyDescent="0.2">
      <c r="B132" s="1" t="s">
        <v>52</v>
      </c>
      <c r="C132" s="1">
        <v>101</v>
      </c>
      <c r="D132" s="1" t="s">
        <v>243</v>
      </c>
      <c r="E132" s="1">
        <v>0</v>
      </c>
      <c r="F132" s="1">
        <v>0</v>
      </c>
    </row>
    <row r="133" spans="2:6" x14ac:dyDescent="0.2">
      <c r="B133" s="1" t="s">
        <v>52</v>
      </c>
      <c r="C133" s="1">
        <v>102</v>
      </c>
      <c r="D133" s="1" t="s">
        <v>244</v>
      </c>
      <c r="E133" s="1">
        <v>0</v>
      </c>
      <c r="F133" s="1">
        <v>0</v>
      </c>
    </row>
    <row r="134" spans="2:6" x14ac:dyDescent="0.2">
      <c r="B134" s="1" t="s">
        <v>52</v>
      </c>
      <c r="C134" s="1">
        <v>103</v>
      </c>
      <c r="D134" s="1" t="s">
        <v>245</v>
      </c>
      <c r="E134" s="1">
        <v>0</v>
      </c>
      <c r="F134" s="1">
        <v>0</v>
      </c>
    </row>
    <row r="135" spans="2:6" x14ac:dyDescent="0.2">
      <c r="B135" s="1" t="s">
        <v>52</v>
      </c>
      <c r="C135" s="1">
        <v>104</v>
      </c>
      <c r="D135" s="1" t="s">
        <v>246</v>
      </c>
      <c r="E135" s="1">
        <v>0</v>
      </c>
      <c r="F135" s="1">
        <v>0</v>
      </c>
    </row>
    <row r="136" spans="2:6" x14ac:dyDescent="0.2">
      <c r="B136" s="1" t="s">
        <v>52</v>
      </c>
      <c r="C136" s="1">
        <v>105</v>
      </c>
      <c r="D136" s="1" t="s">
        <v>247</v>
      </c>
      <c r="E136" s="1">
        <v>0</v>
      </c>
      <c r="F136" s="1">
        <v>0</v>
      </c>
    </row>
    <row r="137" spans="2:6" x14ac:dyDescent="0.2">
      <c r="B137" s="1" t="s">
        <v>52</v>
      </c>
      <c r="C137" s="1">
        <v>106</v>
      </c>
      <c r="D137" s="1" t="s">
        <v>248</v>
      </c>
      <c r="E137" s="1">
        <v>0</v>
      </c>
      <c r="F137" s="1">
        <v>0</v>
      </c>
    </row>
    <row r="138" spans="2:6" x14ac:dyDescent="0.2">
      <c r="B138" s="1" t="s">
        <v>52</v>
      </c>
      <c r="C138" s="1">
        <v>107</v>
      </c>
      <c r="D138" s="1" t="s">
        <v>249</v>
      </c>
      <c r="E138" s="1">
        <v>0</v>
      </c>
      <c r="F138" s="1">
        <v>0</v>
      </c>
    </row>
    <row r="139" spans="2:6" x14ac:dyDescent="0.2">
      <c r="B139" s="1" t="s">
        <v>52</v>
      </c>
      <c r="C139" s="1">
        <v>108</v>
      </c>
      <c r="D139" s="1" t="s">
        <v>250</v>
      </c>
      <c r="E139" s="1">
        <v>0</v>
      </c>
      <c r="F139" s="1">
        <v>0</v>
      </c>
    </row>
    <row r="140" spans="2:6" x14ac:dyDescent="0.2">
      <c r="B140" s="1" t="s">
        <v>52</v>
      </c>
      <c r="C140" s="1">
        <v>109</v>
      </c>
      <c r="D140" s="1" t="s">
        <v>251</v>
      </c>
      <c r="E140" s="1">
        <v>0</v>
      </c>
      <c r="F140" s="1">
        <v>0</v>
      </c>
    </row>
    <row r="141" spans="2:6" x14ac:dyDescent="0.2">
      <c r="B141" s="1" t="s">
        <v>52</v>
      </c>
      <c r="C141" s="1">
        <v>110</v>
      </c>
      <c r="D141" s="1" t="s">
        <v>252</v>
      </c>
      <c r="E141" s="1">
        <v>0</v>
      </c>
      <c r="F141" s="1">
        <v>0</v>
      </c>
    </row>
    <row r="142" spans="2:6" x14ac:dyDescent="0.2">
      <c r="B142" s="1" t="s">
        <v>52</v>
      </c>
      <c r="C142" s="1">
        <v>111</v>
      </c>
      <c r="D142" s="1" t="s">
        <v>253</v>
      </c>
      <c r="E142" s="1">
        <v>0</v>
      </c>
      <c r="F142" s="1">
        <v>0</v>
      </c>
    </row>
    <row r="143" spans="2:6" x14ac:dyDescent="0.2">
      <c r="B143" s="1" t="s">
        <v>52</v>
      </c>
      <c r="C143" s="1">
        <v>112</v>
      </c>
      <c r="D143" s="1" t="s">
        <v>254</v>
      </c>
      <c r="E143" s="1">
        <v>0</v>
      </c>
      <c r="F143" s="1">
        <v>0</v>
      </c>
    </row>
    <row r="144" spans="2:6" x14ac:dyDescent="0.2">
      <c r="B144" s="1" t="s">
        <v>52</v>
      </c>
      <c r="C144" s="1">
        <v>113</v>
      </c>
      <c r="D144" s="1" t="s">
        <v>255</v>
      </c>
      <c r="E144" s="1">
        <v>0</v>
      </c>
      <c r="F144" s="1">
        <v>0</v>
      </c>
    </row>
    <row r="145" spans="2:6" x14ac:dyDescent="0.2">
      <c r="B145" s="1" t="s">
        <v>52</v>
      </c>
      <c r="C145" s="1">
        <v>114</v>
      </c>
      <c r="D145" s="1" t="s">
        <v>256</v>
      </c>
      <c r="E145" s="1">
        <v>0</v>
      </c>
      <c r="F145" s="1">
        <v>0</v>
      </c>
    </row>
    <row r="146" spans="2:6" x14ac:dyDescent="0.2">
      <c r="B146" s="1" t="s">
        <v>52</v>
      </c>
      <c r="C146" s="1">
        <v>115</v>
      </c>
      <c r="D146" s="1" t="s">
        <v>257</v>
      </c>
      <c r="E146" s="1">
        <v>0</v>
      </c>
      <c r="F146" s="1">
        <v>0</v>
      </c>
    </row>
    <row r="147" spans="2:6" x14ac:dyDescent="0.2">
      <c r="B147" s="1" t="s">
        <v>52</v>
      </c>
      <c r="C147" s="1">
        <v>116</v>
      </c>
      <c r="D147" s="1" t="s">
        <v>258</v>
      </c>
      <c r="E147" s="1">
        <v>0</v>
      </c>
      <c r="F147" s="1">
        <v>0</v>
      </c>
    </row>
    <row r="148" spans="2:6" x14ac:dyDescent="0.2">
      <c r="B148" s="1" t="s">
        <v>52</v>
      </c>
      <c r="C148" s="1">
        <v>117</v>
      </c>
      <c r="D148" s="1" t="s">
        <v>259</v>
      </c>
      <c r="E148" s="1">
        <v>0</v>
      </c>
      <c r="F148" s="1">
        <v>0</v>
      </c>
    </row>
    <row r="149" spans="2:6" x14ac:dyDescent="0.2">
      <c r="B149" s="1" t="s">
        <v>52</v>
      </c>
      <c r="C149" s="1">
        <v>118</v>
      </c>
      <c r="D149" s="1" t="s">
        <v>260</v>
      </c>
      <c r="E149" s="1">
        <v>0</v>
      </c>
      <c r="F149" s="1">
        <v>0</v>
      </c>
    </row>
    <row r="150" spans="2:6" x14ac:dyDescent="0.2">
      <c r="B150" s="1" t="s">
        <v>52</v>
      </c>
      <c r="C150" s="1">
        <v>119</v>
      </c>
      <c r="D150" s="1" t="s">
        <v>261</v>
      </c>
      <c r="E150" s="1">
        <v>0</v>
      </c>
      <c r="F150" s="1">
        <v>0</v>
      </c>
    </row>
    <row r="151" spans="2:6" x14ac:dyDescent="0.2">
      <c r="B151" s="1" t="s">
        <v>52</v>
      </c>
      <c r="C151" s="1">
        <v>120</v>
      </c>
      <c r="D151" s="1" t="s">
        <v>262</v>
      </c>
      <c r="E151" s="1">
        <v>0</v>
      </c>
      <c r="F151" s="1">
        <v>0</v>
      </c>
    </row>
    <row r="152" spans="2:6" x14ac:dyDescent="0.2">
      <c r="B152" s="1" t="s">
        <v>52</v>
      </c>
      <c r="C152" s="1">
        <v>121</v>
      </c>
      <c r="D152" s="1" t="s">
        <v>263</v>
      </c>
      <c r="E152" s="1">
        <v>0</v>
      </c>
      <c r="F152" s="1">
        <v>0</v>
      </c>
    </row>
    <row r="153" spans="2:6" x14ac:dyDescent="0.2">
      <c r="B153" s="1" t="s">
        <v>52</v>
      </c>
      <c r="C153" s="1">
        <v>122</v>
      </c>
      <c r="D153" s="1" t="s">
        <v>264</v>
      </c>
      <c r="E153" s="1">
        <v>0</v>
      </c>
      <c r="F153" s="1">
        <v>0</v>
      </c>
    </row>
    <row r="154" spans="2:6" x14ac:dyDescent="0.2">
      <c r="B154" s="1" t="s">
        <v>52</v>
      </c>
      <c r="C154" s="1">
        <v>123</v>
      </c>
      <c r="D154" s="1" t="s">
        <v>265</v>
      </c>
      <c r="E154" s="1">
        <v>0</v>
      </c>
      <c r="F154" s="1">
        <v>0</v>
      </c>
    </row>
    <row r="155" spans="2:6" x14ac:dyDescent="0.2">
      <c r="B155" s="1" t="s">
        <v>52</v>
      </c>
      <c r="C155" s="1">
        <v>124</v>
      </c>
      <c r="D155" s="1" t="s">
        <v>266</v>
      </c>
      <c r="E155" s="1">
        <v>0</v>
      </c>
      <c r="F155" s="1">
        <v>0</v>
      </c>
    </row>
    <row r="156" spans="2:6" x14ac:dyDescent="0.2">
      <c r="B156" s="1" t="s">
        <v>52</v>
      </c>
      <c r="C156" s="1">
        <v>125</v>
      </c>
      <c r="D156" s="1" t="s">
        <v>267</v>
      </c>
      <c r="E156" s="1">
        <v>0</v>
      </c>
      <c r="F156" s="1">
        <v>0</v>
      </c>
    </row>
    <row r="157" spans="2:6" x14ac:dyDescent="0.2">
      <c r="B157" s="1" t="s">
        <v>52</v>
      </c>
      <c r="C157" s="1">
        <v>126</v>
      </c>
      <c r="D157" s="1" t="s">
        <v>268</v>
      </c>
      <c r="E157" s="1">
        <v>0</v>
      </c>
      <c r="F157" s="1">
        <v>0</v>
      </c>
    </row>
    <row r="158" spans="2:6" x14ac:dyDescent="0.2">
      <c r="B158" s="1" t="s">
        <v>52</v>
      </c>
      <c r="C158" s="1">
        <v>127</v>
      </c>
      <c r="D158" s="1" t="s">
        <v>269</v>
      </c>
      <c r="E158" s="1">
        <v>0</v>
      </c>
      <c r="F158" s="1">
        <v>0</v>
      </c>
    </row>
    <row r="159" spans="2:6" x14ac:dyDescent="0.2">
      <c r="B159" s="1" t="s">
        <v>52</v>
      </c>
      <c r="C159" s="1">
        <v>128</v>
      </c>
      <c r="D159" s="1" t="s">
        <v>270</v>
      </c>
      <c r="E159" s="1">
        <v>0</v>
      </c>
      <c r="F159" s="1">
        <v>0</v>
      </c>
    </row>
    <row r="160" spans="2:6" x14ac:dyDescent="0.2">
      <c r="B160" s="1" t="s">
        <v>52</v>
      </c>
      <c r="C160" s="1">
        <v>129</v>
      </c>
      <c r="D160" s="1" t="s">
        <v>271</v>
      </c>
      <c r="E160" s="1">
        <v>0</v>
      </c>
      <c r="F160" s="1">
        <v>0</v>
      </c>
    </row>
    <row r="161" spans="2:6" x14ac:dyDescent="0.2">
      <c r="B161" s="1" t="s">
        <v>52</v>
      </c>
      <c r="C161" s="1">
        <v>130</v>
      </c>
      <c r="D161" s="1" t="s">
        <v>272</v>
      </c>
      <c r="E161" s="1">
        <v>0</v>
      </c>
      <c r="F161" s="1">
        <v>0</v>
      </c>
    </row>
    <row r="162" spans="2:6" x14ac:dyDescent="0.2">
      <c r="B162" s="1" t="s">
        <v>52</v>
      </c>
      <c r="C162" s="1">
        <v>131</v>
      </c>
      <c r="D162" s="1" t="s">
        <v>273</v>
      </c>
      <c r="E162" s="1">
        <v>0</v>
      </c>
      <c r="F162" s="1">
        <v>0</v>
      </c>
    </row>
    <row r="163" spans="2:6" x14ac:dyDescent="0.2">
      <c r="B163" s="1" t="s">
        <v>52</v>
      </c>
      <c r="C163" s="1">
        <v>132</v>
      </c>
      <c r="D163" s="1" t="s">
        <v>274</v>
      </c>
      <c r="E163" s="1">
        <v>0</v>
      </c>
      <c r="F163" s="1">
        <v>0</v>
      </c>
    </row>
    <row r="164" spans="2:6" x14ac:dyDescent="0.2">
      <c r="B164" s="1" t="s">
        <v>52</v>
      </c>
      <c r="C164" s="1">
        <v>133</v>
      </c>
      <c r="D164" s="1" t="s">
        <v>275</v>
      </c>
      <c r="E164" s="1">
        <v>0</v>
      </c>
      <c r="F164" s="1">
        <v>0</v>
      </c>
    </row>
    <row r="165" spans="2:6" x14ac:dyDescent="0.2">
      <c r="B165" s="1" t="s">
        <v>52</v>
      </c>
      <c r="C165" s="1">
        <v>134</v>
      </c>
      <c r="D165" s="1" t="s">
        <v>276</v>
      </c>
      <c r="E165" s="1">
        <v>0</v>
      </c>
      <c r="F165" s="1">
        <v>0</v>
      </c>
    </row>
    <row r="166" spans="2:6" x14ac:dyDescent="0.2">
      <c r="B166" s="1" t="s">
        <v>52</v>
      </c>
      <c r="C166" s="1">
        <v>135</v>
      </c>
      <c r="D166" s="1" t="s">
        <v>277</v>
      </c>
      <c r="E166" s="1">
        <v>0</v>
      </c>
      <c r="F166" s="1">
        <v>0</v>
      </c>
    </row>
    <row r="167" spans="2:6" x14ac:dyDescent="0.2">
      <c r="B167" s="1" t="s">
        <v>52</v>
      </c>
      <c r="C167" s="1">
        <v>136</v>
      </c>
      <c r="D167" s="1" t="s">
        <v>278</v>
      </c>
      <c r="E167" s="1">
        <v>0</v>
      </c>
      <c r="F167" s="1">
        <v>0</v>
      </c>
    </row>
    <row r="168" spans="2:6" x14ac:dyDescent="0.2">
      <c r="B168" s="1" t="s">
        <v>52</v>
      </c>
      <c r="C168" s="1">
        <v>137</v>
      </c>
      <c r="D168" s="1" t="s">
        <v>279</v>
      </c>
      <c r="E168" s="1">
        <v>0</v>
      </c>
      <c r="F168" s="1">
        <v>0</v>
      </c>
    </row>
    <row r="169" spans="2:6" x14ac:dyDescent="0.2">
      <c r="B169" s="1" t="s">
        <v>52</v>
      </c>
      <c r="C169" s="1">
        <v>138</v>
      </c>
      <c r="D169" s="1" t="s">
        <v>280</v>
      </c>
      <c r="E169" s="1">
        <v>0</v>
      </c>
      <c r="F169" s="1">
        <v>0</v>
      </c>
    </row>
    <row r="170" spans="2:6" x14ac:dyDescent="0.2">
      <c r="B170" s="1" t="s">
        <v>52</v>
      </c>
      <c r="C170" s="1">
        <v>139</v>
      </c>
      <c r="D170" s="1" t="s">
        <v>281</v>
      </c>
      <c r="E170" s="1">
        <v>0</v>
      </c>
      <c r="F170" s="1">
        <v>0</v>
      </c>
    </row>
    <row r="171" spans="2:6" x14ac:dyDescent="0.2">
      <c r="B171" s="1" t="s">
        <v>52</v>
      </c>
      <c r="C171" s="1">
        <v>140</v>
      </c>
      <c r="D171" s="1" t="s">
        <v>15</v>
      </c>
      <c r="E171" s="1">
        <v>0</v>
      </c>
      <c r="F171" s="1">
        <v>0</v>
      </c>
    </row>
    <row r="172" spans="2:6" x14ac:dyDescent="0.2">
      <c r="B172" s="1" t="s">
        <v>52</v>
      </c>
      <c r="C172" s="1">
        <v>141</v>
      </c>
      <c r="D172" s="1" t="s">
        <v>282</v>
      </c>
      <c r="E172" s="1">
        <v>0</v>
      </c>
      <c r="F172" s="1">
        <v>0</v>
      </c>
    </row>
    <row r="173" spans="2:6" x14ac:dyDescent="0.2">
      <c r="B173" s="1" t="s">
        <v>52</v>
      </c>
      <c r="C173" s="1">
        <v>142</v>
      </c>
      <c r="D173" s="1" t="s">
        <v>283</v>
      </c>
      <c r="E173" s="1">
        <v>0</v>
      </c>
      <c r="F173" s="1">
        <v>0</v>
      </c>
    </row>
    <row r="174" spans="2:6" x14ac:dyDescent="0.2">
      <c r="B174" s="1" t="s">
        <v>52</v>
      </c>
      <c r="C174" s="1">
        <v>143</v>
      </c>
      <c r="D174" s="1" t="s">
        <v>284</v>
      </c>
      <c r="E174" s="1">
        <v>0</v>
      </c>
      <c r="F174" s="1">
        <v>0</v>
      </c>
    </row>
    <row r="175" spans="2:6" x14ac:dyDescent="0.2">
      <c r="B175" s="1" t="s">
        <v>52</v>
      </c>
      <c r="C175" s="1">
        <v>144</v>
      </c>
      <c r="D175" s="1" t="s">
        <v>285</v>
      </c>
      <c r="E175" s="1">
        <v>0</v>
      </c>
      <c r="F175" s="1">
        <v>0</v>
      </c>
    </row>
    <row r="176" spans="2:6" x14ac:dyDescent="0.2">
      <c r="B176" s="1" t="s">
        <v>52</v>
      </c>
      <c r="C176" s="1">
        <v>145</v>
      </c>
      <c r="D176" s="1" t="s">
        <v>286</v>
      </c>
      <c r="E176" s="1">
        <v>0</v>
      </c>
      <c r="F176" s="1">
        <v>0</v>
      </c>
    </row>
    <row r="177" spans="2:6" x14ac:dyDescent="0.2">
      <c r="B177" s="1" t="s">
        <v>52</v>
      </c>
      <c r="C177" s="1">
        <v>146</v>
      </c>
      <c r="D177" s="1" t="s">
        <v>287</v>
      </c>
      <c r="E177" s="1">
        <v>0</v>
      </c>
      <c r="F177" s="1">
        <v>0</v>
      </c>
    </row>
    <row r="178" spans="2:6" x14ac:dyDescent="0.2">
      <c r="B178" s="1" t="s">
        <v>52</v>
      </c>
      <c r="C178" s="1">
        <v>147</v>
      </c>
      <c r="D178" s="1" t="s">
        <v>288</v>
      </c>
      <c r="E178" s="1">
        <v>0</v>
      </c>
      <c r="F178" s="1">
        <v>0</v>
      </c>
    </row>
    <row r="179" spans="2:6" x14ac:dyDescent="0.2">
      <c r="B179" s="1" t="s">
        <v>52</v>
      </c>
      <c r="C179" s="1">
        <v>148</v>
      </c>
      <c r="D179" s="1" t="s">
        <v>289</v>
      </c>
      <c r="E179" s="1">
        <v>0</v>
      </c>
      <c r="F179" s="1">
        <v>0</v>
      </c>
    </row>
    <row r="180" spans="2:6" x14ac:dyDescent="0.2">
      <c r="B180" s="1" t="s">
        <v>52</v>
      </c>
      <c r="C180" s="1">
        <v>149</v>
      </c>
      <c r="D180" s="1" t="s">
        <v>290</v>
      </c>
      <c r="E180" s="1">
        <v>0</v>
      </c>
      <c r="F180" s="1">
        <v>0</v>
      </c>
    </row>
    <row r="181" spans="2:6" x14ac:dyDescent="0.2">
      <c r="B181" s="1" t="s">
        <v>52</v>
      </c>
      <c r="C181" s="1">
        <v>150</v>
      </c>
      <c r="D181" s="1" t="s">
        <v>291</v>
      </c>
      <c r="E181" s="1">
        <v>0</v>
      </c>
      <c r="F181" s="1">
        <v>0</v>
      </c>
    </row>
    <row r="182" spans="2:6" x14ac:dyDescent="0.2">
      <c r="B182" s="1" t="s">
        <v>52</v>
      </c>
      <c r="C182" s="1">
        <v>151</v>
      </c>
      <c r="D182" s="1" t="s">
        <v>292</v>
      </c>
      <c r="E182" s="1">
        <v>0</v>
      </c>
      <c r="F182" s="1">
        <v>0</v>
      </c>
    </row>
    <row r="183" spans="2:6" x14ac:dyDescent="0.2">
      <c r="B183" s="1" t="s">
        <v>52</v>
      </c>
      <c r="C183" s="1">
        <v>152</v>
      </c>
      <c r="D183" s="1" t="s">
        <v>293</v>
      </c>
      <c r="E183" s="1">
        <v>0</v>
      </c>
      <c r="F183" s="1">
        <v>0</v>
      </c>
    </row>
    <row r="184" spans="2:6" x14ac:dyDescent="0.2">
      <c r="B184" s="1" t="s">
        <v>52</v>
      </c>
      <c r="C184" s="1">
        <v>153</v>
      </c>
      <c r="D184" s="1" t="s">
        <v>294</v>
      </c>
      <c r="E184" s="1">
        <v>0</v>
      </c>
      <c r="F184" s="1">
        <v>0</v>
      </c>
    </row>
    <row r="185" spans="2:6" x14ac:dyDescent="0.2">
      <c r="B185" s="1" t="s">
        <v>52</v>
      </c>
      <c r="C185" s="1">
        <v>154</v>
      </c>
      <c r="D185" s="1" t="s">
        <v>295</v>
      </c>
      <c r="E185" s="1">
        <v>0</v>
      </c>
      <c r="F185" s="1">
        <v>0</v>
      </c>
    </row>
    <row r="186" spans="2:6" x14ac:dyDescent="0.2">
      <c r="B186" s="1" t="s">
        <v>52</v>
      </c>
      <c r="C186" s="1">
        <v>155</v>
      </c>
      <c r="D186" s="1" t="s">
        <v>296</v>
      </c>
      <c r="E186" s="1">
        <v>0</v>
      </c>
      <c r="F186" s="1">
        <v>0</v>
      </c>
    </row>
    <row r="187" spans="2:6" x14ac:dyDescent="0.2">
      <c r="B187" s="1" t="s">
        <v>52</v>
      </c>
      <c r="C187" s="1">
        <v>156</v>
      </c>
      <c r="D187" s="1" t="s">
        <v>297</v>
      </c>
      <c r="E187" s="1">
        <v>0</v>
      </c>
      <c r="F187" s="1">
        <v>0</v>
      </c>
    </row>
    <row r="188" spans="2:6" x14ac:dyDescent="0.2">
      <c r="B188" s="1" t="s">
        <v>52</v>
      </c>
      <c r="C188" s="1">
        <v>157</v>
      </c>
      <c r="D188" s="1" t="s">
        <v>298</v>
      </c>
      <c r="E188" s="1">
        <v>0</v>
      </c>
      <c r="F188" s="1">
        <v>0</v>
      </c>
    </row>
    <row r="189" spans="2:6" x14ac:dyDescent="0.2">
      <c r="B189" s="1" t="s">
        <v>52</v>
      </c>
      <c r="C189" s="1">
        <v>158</v>
      </c>
      <c r="D189" s="1" t="s">
        <v>299</v>
      </c>
      <c r="E189" s="1">
        <v>0</v>
      </c>
      <c r="F189" s="1">
        <v>0</v>
      </c>
    </row>
    <row r="190" spans="2:6" x14ac:dyDescent="0.2">
      <c r="B190" s="1" t="s">
        <v>52</v>
      </c>
      <c r="C190" s="1">
        <v>159</v>
      </c>
      <c r="D190" s="1" t="s">
        <v>300</v>
      </c>
      <c r="E190" s="1">
        <v>0</v>
      </c>
      <c r="F190" s="1">
        <v>0</v>
      </c>
    </row>
    <row r="191" spans="2:6" x14ac:dyDescent="0.2">
      <c r="B191" s="1" t="s">
        <v>52</v>
      </c>
      <c r="C191" s="1">
        <v>160</v>
      </c>
      <c r="D191" s="1" t="s">
        <v>301</v>
      </c>
      <c r="E191" s="1">
        <v>0</v>
      </c>
      <c r="F191" s="1">
        <v>0</v>
      </c>
    </row>
    <row r="192" spans="2:6" x14ac:dyDescent="0.2">
      <c r="B192" s="1" t="s">
        <v>52</v>
      </c>
      <c r="C192" s="1">
        <v>161</v>
      </c>
      <c r="D192" s="1" t="s">
        <v>302</v>
      </c>
      <c r="E192" s="1">
        <v>0</v>
      </c>
      <c r="F192" s="1">
        <v>0</v>
      </c>
    </row>
    <row r="193" spans="2:6" x14ac:dyDescent="0.2">
      <c r="B193" s="1" t="s">
        <v>52</v>
      </c>
      <c r="C193" s="1">
        <v>162</v>
      </c>
      <c r="D193" s="1" t="s">
        <v>303</v>
      </c>
      <c r="E193" s="1">
        <v>0</v>
      </c>
      <c r="F193" s="1">
        <v>0</v>
      </c>
    </row>
    <row r="194" spans="2:6" x14ac:dyDescent="0.2">
      <c r="B194" s="1" t="s">
        <v>52</v>
      </c>
      <c r="C194" s="1">
        <v>163</v>
      </c>
      <c r="D194" s="1" t="s">
        <v>304</v>
      </c>
      <c r="E194" s="1">
        <v>0</v>
      </c>
      <c r="F194" s="1">
        <v>0</v>
      </c>
    </row>
    <row r="195" spans="2:6" x14ac:dyDescent="0.2">
      <c r="B195" s="1" t="s">
        <v>52</v>
      </c>
      <c r="C195" s="1">
        <v>164</v>
      </c>
      <c r="D195" s="1" t="s">
        <v>305</v>
      </c>
      <c r="E195" s="1">
        <v>0</v>
      </c>
      <c r="F195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7A7AE-BB42-43CC-BEB9-22872C9FBEF0}">
  <sheetPr codeName="ShtBitfinex"/>
  <dimension ref="A2:F43"/>
  <sheetViews>
    <sheetView workbookViewId="0">
      <selection activeCell="D11" sqref="D11"/>
    </sheetView>
  </sheetViews>
  <sheetFormatPr defaultRowHeight="11.4" x14ac:dyDescent="0.2"/>
  <cols>
    <col min="1" max="1" width="3.44140625" style="1" customWidth="1"/>
    <col min="2" max="6" width="23" style="1" customWidth="1"/>
    <col min="7" max="16384" width="8.88671875" style="1"/>
  </cols>
  <sheetData>
    <row r="2" spans="1:6" ht="17.399999999999999" x14ac:dyDescent="0.3">
      <c r="B2" s="18" t="s">
        <v>307</v>
      </c>
    </row>
    <row r="3" spans="1:6" x14ac:dyDescent="0.2">
      <c r="B3" s="16" t="s">
        <v>308</v>
      </c>
    </row>
    <row r="4" spans="1:6" x14ac:dyDescent="0.2">
      <c r="B4" s="1" t="s">
        <v>142</v>
      </c>
    </row>
    <row r="6" spans="1:6" x14ac:dyDescent="0.2">
      <c r="B6" s="4" t="s">
        <v>113</v>
      </c>
      <c r="C6" s="19" t="s">
        <v>1240</v>
      </c>
    </row>
    <row r="7" spans="1:6" x14ac:dyDescent="0.2">
      <c r="B7" s="4" t="s">
        <v>114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312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>
        <v>1</v>
      </c>
      <c r="E18" s="1">
        <v>2</v>
      </c>
      <c r="F18" s="32" t="s">
        <v>20</v>
      </c>
    </row>
    <row r="19" spans="1:6" x14ac:dyDescent="0.2">
      <c r="B19" s="31">
        <v>2</v>
      </c>
      <c r="C19" s="1">
        <v>1</v>
      </c>
      <c r="D19" s="1" t="s">
        <v>309</v>
      </c>
      <c r="E19" s="1">
        <v>1</v>
      </c>
      <c r="F19" s="32" t="s">
        <v>21</v>
      </c>
    </row>
    <row r="20" spans="1:6" x14ac:dyDescent="0.2">
      <c r="B20" s="31">
        <v>2</v>
      </c>
      <c r="C20" s="1">
        <v>1</v>
      </c>
      <c r="D20" s="1" t="s">
        <v>310</v>
      </c>
      <c r="E20" s="1">
        <v>32401.24343228</v>
      </c>
      <c r="F20" s="32" t="s">
        <v>21</v>
      </c>
    </row>
    <row r="21" spans="1:6" x14ac:dyDescent="0.2">
      <c r="B21" s="31">
        <v>1</v>
      </c>
      <c r="C21" s="1">
        <v>1</v>
      </c>
      <c r="D21" s="1">
        <v>2</v>
      </c>
      <c r="E21" s="1">
        <v>2</v>
      </c>
      <c r="F21" s="32" t="s">
        <v>20</v>
      </c>
    </row>
    <row r="22" spans="1:6" x14ac:dyDescent="0.2">
      <c r="B22" s="31">
        <v>2</v>
      </c>
      <c r="C22" s="1">
        <v>2</v>
      </c>
      <c r="D22" s="1" t="s">
        <v>309</v>
      </c>
      <c r="E22" s="1">
        <v>7</v>
      </c>
      <c r="F22" s="32" t="s">
        <v>21</v>
      </c>
    </row>
    <row r="23" spans="1:6" x14ac:dyDescent="0.2">
      <c r="B23" s="31">
        <v>2</v>
      </c>
      <c r="C23" s="1">
        <v>2</v>
      </c>
      <c r="D23" s="1" t="s">
        <v>310</v>
      </c>
      <c r="E23" s="1">
        <v>136050.25527682999</v>
      </c>
      <c r="F23" s="32" t="s">
        <v>21</v>
      </c>
    </row>
    <row r="24" spans="1:6" x14ac:dyDescent="0.2">
      <c r="B24" s="31">
        <v>1</v>
      </c>
      <c r="C24" s="1">
        <v>2</v>
      </c>
      <c r="D24" s="1">
        <v>3</v>
      </c>
      <c r="E24" s="1">
        <v>2</v>
      </c>
      <c r="F24" s="32" t="s">
        <v>20</v>
      </c>
    </row>
    <row r="25" spans="1:6" x14ac:dyDescent="0.2">
      <c r="B25" s="31">
        <v>2</v>
      </c>
      <c r="C25" s="1">
        <v>3</v>
      </c>
      <c r="D25" s="1" t="s">
        <v>309</v>
      </c>
      <c r="E25" s="1">
        <v>30</v>
      </c>
      <c r="F25" s="32" t="s">
        <v>21</v>
      </c>
    </row>
    <row r="26" spans="1:6" ht="12" thickBot="1" x14ac:dyDescent="0.25">
      <c r="B26" s="20">
        <v>2</v>
      </c>
      <c r="C26" s="21">
        <v>3</v>
      </c>
      <c r="D26" s="21" t="s">
        <v>310</v>
      </c>
      <c r="E26" s="21">
        <v>291461.27729021001</v>
      </c>
      <c r="F26" s="23" t="s">
        <v>21</v>
      </c>
    </row>
    <row r="28" spans="1:6" x14ac:dyDescent="0.2">
      <c r="A28" s="4" t="s">
        <v>144</v>
      </c>
    </row>
    <row r="29" spans="1:6" ht="12" thickBot="1" x14ac:dyDescent="0.25">
      <c r="B29" s="2" t="s">
        <v>23</v>
      </c>
      <c r="C29" s="3"/>
      <c r="D29" s="3"/>
    </row>
    <row r="30" spans="1:6" x14ac:dyDescent="0.2">
      <c r="B30" s="25" t="s">
        <v>1</v>
      </c>
      <c r="C30" s="29" t="s">
        <v>309</v>
      </c>
      <c r="D30" s="26" t="s">
        <v>310</v>
      </c>
    </row>
    <row r="31" spans="1:6" x14ac:dyDescent="0.2">
      <c r="B31" s="31">
        <v>1</v>
      </c>
      <c r="C31" s="1">
        <v>1</v>
      </c>
      <c r="D31" s="33">
        <v>32401.24343228</v>
      </c>
    </row>
    <row r="32" spans="1:6" x14ac:dyDescent="0.2">
      <c r="B32" s="31">
        <v>2</v>
      </c>
      <c r="C32" s="1">
        <v>7</v>
      </c>
      <c r="D32" s="33">
        <v>136050.25527682999</v>
      </c>
    </row>
    <row r="33" spans="1:6" ht="12" thickBot="1" x14ac:dyDescent="0.25">
      <c r="B33" s="20">
        <v>3</v>
      </c>
      <c r="C33" s="21">
        <v>30</v>
      </c>
      <c r="D33" s="34">
        <v>291461.27729021001</v>
      </c>
    </row>
    <row r="36" spans="1:6" x14ac:dyDescent="0.2">
      <c r="A36" s="4" t="s">
        <v>145</v>
      </c>
    </row>
    <row r="38" spans="1:6" x14ac:dyDescent="0.2">
      <c r="B38" s="2" t="s">
        <v>311</v>
      </c>
      <c r="C38" s="2"/>
      <c r="D38" s="2"/>
      <c r="E38" s="2"/>
      <c r="F38" s="2"/>
    </row>
    <row r="39" spans="1:6" x14ac:dyDescent="0.2">
      <c r="B39" s="1" t="s">
        <v>1</v>
      </c>
      <c r="C39" s="1" t="s">
        <v>9</v>
      </c>
      <c r="D39" s="1" t="s">
        <v>317</v>
      </c>
      <c r="E39" s="1" t="s">
        <v>11</v>
      </c>
      <c r="F39" s="1" t="s">
        <v>318</v>
      </c>
    </row>
    <row r="40" spans="1:6" x14ac:dyDescent="0.2">
      <c r="B40" s="1">
        <v>1</v>
      </c>
      <c r="C40" s="1" t="s">
        <v>64</v>
      </c>
      <c r="D40" s="1" t="s">
        <v>313</v>
      </c>
      <c r="E40" s="1">
        <v>40.875</v>
      </c>
      <c r="F40" s="1">
        <v>40.875</v>
      </c>
    </row>
    <row r="41" spans="1:6" x14ac:dyDescent="0.2">
      <c r="B41" s="1">
        <v>2</v>
      </c>
      <c r="C41" s="1" t="s">
        <v>64</v>
      </c>
      <c r="D41" s="1" t="s">
        <v>314</v>
      </c>
      <c r="E41" s="1">
        <v>81.75</v>
      </c>
      <c r="F41" s="1">
        <v>81.75</v>
      </c>
    </row>
    <row r="42" spans="1:6" x14ac:dyDescent="0.2">
      <c r="B42" s="1">
        <v>3</v>
      </c>
      <c r="C42" s="1" t="s">
        <v>64</v>
      </c>
      <c r="D42" s="1" t="s">
        <v>315</v>
      </c>
      <c r="E42" s="1">
        <v>3.4404499999999998E-3</v>
      </c>
      <c r="F42" s="1">
        <v>3.4404499999999998E-3</v>
      </c>
    </row>
    <row r="43" spans="1:6" x14ac:dyDescent="0.2">
      <c r="B43" s="1">
        <v>4</v>
      </c>
      <c r="C43" s="1" t="s">
        <v>64</v>
      </c>
      <c r="D43" s="1" t="s">
        <v>316</v>
      </c>
      <c r="E43" s="1">
        <v>90</v>
      </c>
      <c r="F43" s="1">
        <v>90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AC234-F47A-4EFF-B15A-ED2FCA236C59}">
  <sheetPr codeName="ShtBitstamp"/>
  <dimension ref="A2:J72"/>
  <sheetViews>
    <sheetView workbookViewId="0">
      <selection activeCell="C6" sqref="C6"/>
    </sheetView>
  </sheetViews>
  <sheetFormatPr defaultRowHeight="11.4" x14ac:dyDescent="0.2"/>
  <cols>
    <col min="1" max="1" width="3.44140625" style="1" customWidth="1"/>
    <col min="2" max="6" width="23" style="1" customWidth="1"/>
    <col min="7" max="16384" width="8.88671875" style="1"/>
  </cols>
  <sheetData>
    <row r="2" spans="1:6" ht="17.399999999999999" x14ac:dyDescent="0.3">
      <c r="B2" s="18" t="s">
        <v>307</v>
      </c>
    </row>
    <row r="3" spans="1:6" x14ac:dyDescent="0.2">
      <c r="B3" s="16" t="s">
        <v>308</v>
      </c>
    </row>
    <row r="4" spans="1:6" x14ac:dyDescent="0.2">
      <c r="B4" s="1" t="s">
        <v>142</v>
      </c>
    </row>
    <row r="6" spans="1:6" x14ac:dyDescent="0.2">
      <c r="B6" s="4" t="s">
        <v>117</v>
      </c>
      <c r="C6" s="19" t="s">
        <v>1240</v>
      </c>
    </row>
    <row r="7" spans="1:6" x14ac:dyDescent="0.2">
      <c r="B7" s="4" t="s">
        <v>118</v>
      </c>
      <c r="C7" s="19" t="s">
        <v>1240</v>
      </c>
    </row>
    <row r="8" spans="1:6" x14ac:dyDescent="0.2">
      <c r="B8" s="4" t="s">
        <v>119</v>
      </c>
      <c r="C8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362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10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0" x14ac:dyDescent="0.2">
      <c r="B18" s="31">
        <v>1</v>
      </c>
      <c r="C18" s="1" t="s">
        <v>18</v>
      </c>
      <c r="D18" s="1" t="s">
        <v>24</v>
      </c>
      <c r="E18" s="1">
        <v>4343.63</v>
      </c>
      <c r="F18" s="32" t="s">
        <v>21</v>
      </c>
    </row>
    <row r="19" spans="1:10" x14ac:dyDescent="0.2">
      <c r="B19" s="31">
        <v>1</v>
      </c>
      <c r="C19" s="1" t="s">
        <v>18</v>
      </c>
      <c r="D19" s="1" t="s">
        <v>27</v>
      </c>
      <c r="E19" s="1">
        <v>4314.84</v>
      </c>
      <c r="F19" s="32" t="s">
        <v>21</v>
      </c>
    </row>
    <row r="20" spans="1:10" x14ac:dyDescent="0.2">
      <c r="B20" s="31">
        <v>1</v>
      </c>
      <c r="C20" s="1" t="s">
        <v>18</v>
      </c>
      <c r="D20" s="1" t="s">
        <v>319</v>
      </c>
      <c r="E20" s="1">
        <v>1554410501</v>
      </c>
      <c r="F20" s="32" t="s">
        <v>21</v>
      </c>
    </row>
    <row r="21" spans="1:10" x14ac:dyDescent="0.2">
      <c r="B21" s="31">
        <v>1</v>
      </c>
      <c r="C21" s="1" t="s">
        <v>18</v>
      </c>
      <c r="D21" s="1" t="s">
        <v>320</v>
      </c>
      <c r="E21" s="1">
        <v>4303.72</v>
      </c>
      <c r="F21" s="32" t="s">
        <v>21</v>
      </c>
    </row>
    <row r="22" spans="1:10" x14ac:dyDescent="0.2">
      <c r="B22" s="31">
        <v>1</v>
      </c>
      <c r="C22" s="1" t="s">
        <v>18</v>
      </c>
      <c r="D22" s="1" t="s">
        <v>321</v>
      </c>
      <c r="E22" s="1">
        <v>4279.68</v>
      </c>
      <c r="F22" s="32" t="s">
        <v>21</v>
      </c>
    </row>
    <row r="23" spans="1:10" x14ac:dyDescent="0.2">
      <c r="B23" s="31">
        <v>1</v>
      </c>
      <c r="C23" s="1" t="s">
        <v>18</v>
      </c>
      <c r="D23" s="1" t="s">
        <v>310</v>
      </c>
      <c r="E23" s="1">
        <v>210.10757824000001</v>
      </c>
      <c r="F23" s="32" t="s">
        <v>21</v>
      </c>
    </row>
    <row r="24" spans="1:10" x14ac:dyDescent="0.2">
      <c r="B24" s="31">
        <v>1</v>
      </c>
      <c r="C24" s="1" t="s">
        <v>18</v>
      </c>
      <c r="D24" s="1" t="s">
        <v>25</v>
      </c>
      <c r="E24" s="1">
        <v>4250.7299999999996</v>
      </c>
      <c r="F24" s="32" t="s">
        <v>21</v>
      </c>
    </row>
    <row r="25" spans="1:10" x14ac:dyDescent="0.2">
      <c r="B25" s="31">
        <v>1</v>
      </c>
      <c r="C25" s="1" t="s">
        <v>18</v>
      </c>
      <c r="D25" s="1" t="s">
        <v>322</v>
      </c>
      <c r="E25" s="1">
        <v>4314.68</v>
      </c>
      <c r="F25" s="32" t="s">
        <v>21</v>
      </c>
    </row>
    <row r="26" spans="1:10" ht="12" thickBot="1" x14ac:dyDescent="0.25">
      <c r="B26" s="20">
        <v>1</v>
      </c>
      <c r="C26" s="21" t="s">
        <v>18</v>
      </c>
      <c r="D26" s="21" t="s">
        <v>323</v>
      </c>
      <c r="E26" s="21">
        <v>4301.8100000000004</v>
      </c>
      <c r="F26" s="23" t="s">
        <v>21</v>
      </c>
    </row>
    <row r="28" spans="1:10" x14ac:dyDescent="0.2">
      <c r="A28" s="4" t="s">
        <v>144</v>
      </c>
    </row>
    <row r="29" spans="1:10" ht="12" thickBot="1" x14ac:dyDescent="0.25">
      <c r="B29" s="2" t="s">
        <v>23</v>
      </c>
      <c r="C29" s="3"/>
      <c r="D29" s="3"/>
    </row>
    <row r="30" spans="1:10" x14ac:dyDescent="0.2">
      <c r="B30" s="25" t="s">
        <v>24</v>
      </c>
      <c r="C30" s="29" t="s">
        <v>27</v>
      </c>
      <c r="D30" s="29" t="s">
        <v>319</v>
      </c>
      <c r="E30" s="29" t="s">
        <v>320</v>
      </c>
      <c r="F30" s="29" t="s">
        <v>321</v>
      </c>
      <c r="G30" s="29" t="s">
        <v>310</v>
      </c>
      <c r="H30" s="29" t="s">
        <v>25</v>
      </c>
      <c r="I30" s="29" t="s">
        <v>322</v>
      </c>
      <c r="J30" s="26" t="s">
        <v>323</v>
      </c>
    </row>
    <row r="31" spans="1:10" ht="12" thickBot="1" x14ac:dyDescent="0.25">
      <c r="B31" s="20">
        <v>4343.63</v>
      </c>
      <c r="C31" s="21">
        <v>4314.84</v>
      </c>
      <c r="D31" s="21">
        <v>1554410501</v>
      </c>
      <c r="E31" s="21">
        <v>4303.72</v>
      </c>
      <c r="F31" s="21">
        <v>4279.68</v>
      </c>
      <c r="G31" s="21">
        <v>210.10757824000001</v>
      </c>
      <c r="H31" s="21">
        <v>4250.7299999999996</v>
      </c>
      <c r="I31" s="21">
        <v>4314.68</v>
      </c>
      <c r="J31" s="23">
        <v>4301.8100000000004</v>
      </c>
    </row>
    <row r="33" spans="1:4" x14ac:dyDescent="0.2">
      <c r="A33" s="4" t="s">
        <v>145</v>
      </c>
    </row>
    <row r="35" spans="1:4" x14ac:dyDescent="0.2">
      <c r="B35" s="2" t="s">
        <v>311</v>
      </c>
      <c r="C35" s="2"/>
      <c r="D35" s="2"/>
    </row>
    <row r="36" spans="1:4" x14ac:dyDescent="0.2">
      <c r="B36" s="1" t="s">
        <v>361</v>
      </c>
      <c r="C36" s="1" t="s">
        <v>360</v>
      </c>
    </row>
    <row r="37" spans="1:4" x14ac:dyDescent="0.2">
      <c r="B37" s="1" t="s">
        <v>324</v>
      </c>
      <c r="C37" s="1">
        <v>0</v>
      </c>
    </row>
    <row r="38" spans="1:4" x14ac:dyDescent="0.2">
      <c r="B38" s="1" t="s">
        <v>325</v>
      </c>
      <c r="C38" s="1">
        <v>0</v>
      </c>
    </row>
    <row r="39" spans="1:4" x14ac:dyDescent="0.2">
      <c r="B39" s="1" t="s">
        <v>326</v>
      </c>
      <c r="C39" s="1">
        <v>0</v>
      </c>
    </row>
    <row r="40" spans="1:4" x14ac:dyDescent="0.2">
      <c r="B40" s="1" t="s">
        <v>327</v>
      </c>
      <c r="C40" s="1">
        <v>0.25</v>
      </c>
    </row>
    <row r="41" spans="1:4" x14ac:dyDescent="0.2">
      <c r="B41" s="1" t="s">
        <v>328</v>
      </c>
      <c r="C41" s="1">
        <v>0.25</v>
      </c>
    </row>
    <row r="42" spans="1:4" x14ac:dyDescent="0.2">
      <c r="B42" s="1" t="s">
        <v>329</v>
      </c>
      <c r="C42" s="1">
        <v>0.25</v>
      </c>
    </row>
    <row r="43" spans="1:4" x14ac:dyDescent="0.2">
      <c r="B43" s="1" t="s">
        <v>330</v>
      </c>
      <c r="C43" s="1">
        <v>0</v>
      </c>
    </row>
    <row r="44" spans="1:4" x14ac:dyDescent="0.2">
      <c r="B44" s="1" t="s">
        <v>331</v>
      </c>
      <c r="C44" s="1">
        <v>0</v>
      </c>
    </row>
    <row r="45" spans="1:4" x14ac:dyDescent="0.2">
      <c r="B45" s="1" t="s">
        <v>332</v>
      </c>
      <c r="C45" s="1">
        <v>0</v>
      </c>
    </row>
    <row r="46" spans="1:4" x14ac:dyDescent="0.2">
      <c r="B46" s="1" t="s">
        <v>333</v>
      </c>
      <c r="C46" s="1">
        <v>0.25</v>
      </c>
    </row>
    <row r="47" spans="1:4" x14ac:dyDescent="0.2">
      <c r="B47" s="1" t="s">
        <v>334</v>
      </c>
      <c r="C47" s="1">
        <v>0.25</v>
      </c>
    </row>
    <row r="48" spans="1:4" x14ac:dyDescent="0.2">
      <c r="B48" s="1" t="s">
        <v>335</v>
      </c>
      <c r="C48" s="1">
        <v>0</v>
      </c>
    </row>
    <row r="49" spans="2:3" x14ac:dyDescent="0.2">
      <c r="B49" s="1" t="s">
        <v>336</v>
      </c>
      <c r="C49" s="1">
        <v>0</v>
      </c>
    </row>
    <row r="50" spans="2:3" x14ac:dyDescent="0.2">
      <c r="B50" s="1" t="s">
        <v>337</v>
      </c>
      <c r="C50" s="1">
        <v>0</v>
      </c>
    </row>
    <row r="51" spans="2:3" x14ac:dyDescent="0.2">
      <c r="B51" s="1" t="s">
        <v>338</v>
      </c>
      <c r="C51" s="1">
        <v>0.25</v>
      </c>
    </row>
    <row r="52" spans="2:3" x14ac:dyDescent="0.2">
      <c r="B52" s="1" t="s">
        <v>339</v>
      </c>
      <c r="C52" s="1">
        <v>0.25</v>
      </c>
    </row>
    <row r="53" spans="2:3" x14ac:dyDescent="0.2">
      <c r="B53" s="1" t="s">
        <v>340</v>
      </c>
      <c r="C53" s="1">
        <v>0.25</v>
      </c>
    </row>
    <row r="54" spans="2:3" x14ac:dyDescent="0.2">
      <c r="B54" s="1" t="s">
        <v>341</v>
      </c>
      <c r="C54" s="1">
        <v>0</v>
      </c>
    </row>
    <row r="55" spans="2:3" x14ac:dyDescent="0.2">
      <c r="B55" s="1" t="s">
        <v>342</v>
      </c>
      <c r="C55" s="1">
        <v>0</v>
      </c>
    </row>
    <row r="56" spans="2:3" x14ac:dyDescent="0.2">
      <c r="B56" s="1" t="s">
        <v>343</v>
      </c>
      <c r="C56" s="1">
        <v>0</v>
      </c>
    </row>
    <row r="57" spans="2:3" x14ac:dyDescent="0.2">
      <c r="B57" s="1" t="s">
        <v>344</v>
      </c>
      <c r="C57" s="1">
        <v>0.25</v>
      </c>
    </row>
    <row r="58" spans="2:3" x14ac:dyDescent="0.2">
      <c r="B58" s="1" t="s">
        <v>345</v>
      </c>
      <c r="C58" s="1">
        <v>0</v>
      </c>
    </row>
    <row r="59" spans="2:3" x14ac:dyDescent="0.2">
      <c r="B59" s="1" t="s">
        <v>346</v>
      </c>
      <c r="C59" s="1">
        <v>0</v>
      </c>
    </row>
    <row r="60" spans="2:3" x14ac:dyDescent="0.2">
      <c r="B60" s="1" t="s">
        <v>347</v>
      </c>
      <c r="C60" s="1">
        <v>0</v>
      </c>
    </row>
    <row r="61" spans="2:3" x14ac:dyDescent="0.2">
      <c r="B61" s="1" t="s">
        <v>348</v>
      </c>
      <c r="C61" s="1">
        <v>0.25</v>
      </c>
    </row>
    <row r="62" spans="2:3" x14ac:dyDescent="0.2">
      <c r="B62" s="1" t="s">
        <v>349</v>
      </c>
      <c r="C62" s="1">
        <v>0.25</v>
      </c>
    </row>
    <row r="63" spans="2:3" x14ac:dyDescent="0.2">
      <c r="B63" s="1" t="s">
        <v>350</v>
      </c>
      <c r="C63" s="1">
        <v>0.25</v>
      </c>
    </row>
    <row r="64" spans="2:3" x14ac:dyDescent="0.2">
      <c r="B64" s="1" t="s">
        <v>351</v>
      </c>
      <c r="C64" s="1">
        <v>0</v>
      </c>
    </row>
    <row r="65" spans="2:3" x14ac:dyDescent="0.2">
      <c r="B65" s="1" t="s">
        <v>352</v>
      </c>
      <c r="C65" s="1">
        <v>0</v>
      </c>
    </row>
    <row r="66" spans="2:3" x14ac:dyDescent="0.2">
      <c r="B66" s="1" t="s">
        <v>353</v>
      </c>
      <c r="C66" s="1">
        <v>0</v>
      </c>
    </row>
    <row r="67" spans="2:3" x14ac:dyDescent="0.2">
      <c r="B67" s="1" t="s">
        <v>354</v>
      </c>
      <c r="C67" s="1">
        <v>0</v>
      </c>
    </row>
    <row r="68" spans="2:3" x14ac:dyDescent="0.2">
      <c r="B68" s="1" t="s">
        <v>355</v>
      </c>
      <c r="C68" s="1">
        <v>0</v>
      </c>
    </row>
    <row r="69" spans="2:3" x14ac:dyDescent="0.2">
      <c r="B69" s="1" t="s">
        <v>356</v>
      </c>
      <c r="C69" s="1">
        <v>0</v>
      </c>
    </row>
    <row r="70" spans="2:3" x14ac:dyDescent="0.2">
      <c r="B70" s="1" t="s">
        <v>357</v>
      </c>
      <c r="C70" s="1">
        <v>0.25</v>
      </c>
    </row>
    <row r="71" spans="2:3" x14ac:dyDescent="0.2">
      <c r="B71" s="1" t="s">
        <v>358</v>
      </c>
      <c r="C71" s="1">
        <v>0.25</v>
      </c>
    </row>
    <row r="72" spans="2:3" x14ac:dyDescent="0.2">
      <c r="B72" s="1" t="s">
        <v>359</v>
      </c>
      <c r="C72" s="1">
        <v>0.25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Bittrex"/>
  <dimension ref="A2:P49"/>
  <sheetViews>
    <sheetView zoomScaleNormal="100" workbookViewId="0">
      <selection activeCell="C10" sqref="C10"/>
    </sheetView>
  </sheetViews>
  <sheetFormatPr defaultColWidth="19" defaultRowHeight="11.4" x14ac:dyDescent="0.2"/>
  <cols>
    <col min="1" max="1" width="3.5546875" style="1" customWidth="1"/>
    <col min="2" max="7" width="19" style="1"/>
    <col min="8" max="8" width="66.88671875" style="1" bestFit="1" customWidth="1"/>
    <col min="9" max="16384" width="19" style="1"/>
  </cols>
  <sheetData>
    <row r="2" spans="1:6" s="35" customFormat="1" ht="17.399999999999999" x14ac:dyDescent="0.3">
      <c r="B2" s="18" t="s">
        <v>363</v>
      </c>
    </row>
    <row r="3" spans="1:6" x14ac:dyDescent="0.2">
      <c r="B3" s="16" t="s">
        <v>364</v>
      </c>
    </row>
    <row r="4" spans="1:6" x14ac:dyDescent="0.2">
      <c r="B4" s="1" t="s">
        <v>142</v>
      </c>
    </row>
    <row r="6" spans="1:6" x14ac:dyDescent="0.2">
      <c r="B6" s="4" t="s">
        <v>30</v>
      </c>
      <c r="C6" s="19" t="s">
        <v>1240</v>
      </c>
    </row>
    <row r="7" spans="1:6" x14ac:dyDescent="0.2">
      <c r="B7" s="4" t="s">
        <v>31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374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32</v>
      </c>
      <c r="E18" s="1" t="b">
        <v>1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33</v>
      </c>
      <c r="F19" s="32" t="s">
        <v>21</v>
      </c>
    </row>
    <row r="20" spans="2:6" x14ac:dyDescent="0.2">
      <c r="B20" s="31">
        <v>1</v>
      </c>
      <c r="C20" s="1" t="s">
        <v>18</v>
      </c>
      <c r="D20" s="1" t="s">
        <v>4</v>
      </c>
      <c r="E20" s="1">
        <v>1</v>
      </c>
      <c r="F20" s="32" t="s">
        <v>20</v>
      </c>
    </row>
    <row r="21" spans="2:6" x14ac:dyDescent="0.2">
      <c r="B21" s="31">
        <v>2</v>
      </c>
      <c r="C21" s="1" t="s">
        <v>4</v>
      </c>
      <c r="D21" s="1">
        <v>1</v>
      </c>
      <c r="E21" s="1">
        <v>13</v>
      </c>
      <c r="F21" s="32" t="s">
        <v>20</v>
      </c>
    </row>
    <row r="22" spans="2:6" x14ac:dyDescent="0.2">
      <c r="B22" s="31">
        <v>3</v>
      </c>
      <c r="C22" s="1">
        <v>1</v>
      </c>
      <c r="D22" s="1" t="s">
        <v>365</v>
      </c>
      <c r="E22" s="1" t="s">
        <v>366</v>
      </c>
      <c r="F22" s="32" t="s">
        <v>21</v>
      </c>
    </row>
    <row r="23" spans="2:6" x14ac:dyDescent="0.2">
      <c r="B23" s="31">
        <v>3</v>
      </c>
      <c r="C23" s="1">
        <v>1</v>
      </c>
      <c r="D23" s="1" t="s">
        <v>66</v>
      </c>
      <c r="E23" s="1">
        <v>8.5000000000000001E-7</v>
      </c>
      <c r="F23" s="32" t="s">
        <v>21</v>
      </c>
    </row>
    <row r="24" spans="2:6" x14ac:dyDescent="0.2">
      <c r="B24" s="31">
        <v>3</v>
      </c>
      <c r="C24" s="1">
        <v>1</v>
      </c>
      <c r="D24" s="1" t="s">
        <v>65</v>
      </c>
      <c r="E24" s="1">
        <v>5.7000000000000005E-7</v>
      </c>
      <c r="F24" s="32" t="s">
        <v>21</v>
      </c>
    </row>
    <row r="25" spans="2:6" x14ac:dyDescent="0.2">
      <c r="B25" s="31">
        <v>3</v>
      </c>
      <c r="C25" s="1">
        <v>1</v>
      </c>
      <c r="D25" s="1" t="s">
        <v>67</v>
      </c>
      <c r="E25" s="1">
        <v>3110073902.6261501</v>
      </c>
      <c r="F25" s="32" t="s">
        <v>21</v>
      </c>
    </row>
    <row r="26" spans="2:6" x14ac:dyDescent="0.2">
      <c r="B26" s="31">
        <v>3</v>
      </c>
      <c r="C26" s="1">
        <v>1</v>
      </c>
      <c r="D26" s="1" t="s">
        <v>36</v>
      </c>
      <c r="E26" s="1">
        <v>6.7999999999999995E-7</v>
      </c>
      <c r="F26" s="32" t="s">
        <v>21</v>
      </c>
    </row>
    <row r="27" spans="2:6" x14ac:dyDescent="0.2">
      <c r="B27" s="31">
        <v>3</v>
      </c>
      <c r="C27" s="1">
        <v>1</v>
      </c>
      <c r="D27" s="1" t="s">
        <v>68</v>
      </c>
      <c r="E27" s="1">
        <v>2273.2871605</v>
      </c>
      <c r="F27" s="32" t="s">
        <v>21</v>
      </c>
    </row>
    <row r="28" spans="2:6" x14ac:dyDescent="0.2">
      <c r="B28" s="31">
        <v>3</v>
      </c>
      <c r="C28" s="1">
        <v>1</v>
      </c>
      <c r="D28" s="1" t="s">
        <v>367</v>
      </c>
      <c r="E28" s="1" t="s">
        <v>375</v>
      </c>
      <c r="F28" s="32" t="s">
        <v>21</v>
      </c>
    </row>
    <row r="29" spans="2:6" x14ac:dyDescent="0.2">
      <c r="B29" s="31">
        <v>3</v>
      </c>
      <c r="C29" s="1">
        <v>1</v>
      </c>
      <c r="D29" s="1" t="s">
        <v>34</v>
      </c>
      <c r="E29" s="1">
        <v>6.7000000000000004E-7</v>
      </c>
      <c r="F29" s="32" t="s">
        <v>21</v>
      </c>
    </row>
    <row r="30" spans="2:6" x14ac:dyDescent="0.2">
      <c r="B30" s="31">
        <v>3</v>
      </c>
      <c r="C30" s="1">
        <v>1</v>
      </c>
      <c r="D30" s="1" t="s">
        <v>35</v>
      </c>
      <c r="E30" s="1">
        <v>6.7999999999999995E-7</v>
      </c>
      <c r="F30" s="32" t="s">
        <v>21</v>
      </c>
    </row>
    <row r="31" spans="2:6" x14ac:dyDescent="0.2">
      <c r="B31" s="31">
        <v>3</v>
      </c>
      <c r="C31" s="1">
        <v>1</v>
      </c>
      <c r="D31" s="1" t="s">
        <v>368</v>
      </c>
      <c r="E31" s="1">
        <v>2446</v>
      </c>
      <c r="F31" s="32" t="s">
        <v>21</v>
      </c>
    </row>
    <row r="32" spans="2:6" x14ac:dyDescent="0.2">
      <c r="B32" s="36">
        <v>3</v>
      </c>
      <c r="C32" s="1">
        <v>1</v>
      </c>
      <c r="D32" s="1" t="s">
        <v>369</v>
      </c>
      <c r="E32" s="1">
        <v>4015</v>
      </c>
      <c r="F32" s="32" t="s">
        <v>21</v>
      </c>
    </row>
    <row r="33" spans="1:16" x14ac:dyDescent="0.2">
      <c r="B33" s="31">
        <v>3</v>
      </c>
      <c r="C33" s="1">
        <v>1</v>
      </c>
      <c r="D33" s="1" t="s">
        <v>370</v>
      </c>
      <c r="E33" s="1">
        <v>6.8999999999999996E-7</v>
      </c>
      <c r="F33" s="32" t="s">
        <v>21</v>
      </c>
    </row>
    <row r="34" spans="1:16" ht="12" thickBot="1" x14ac:dyDescent="0.25">
      <c r="B34" s="20">
        <v>3</v>
      </c>
      <c r="C34" s="21">
        <v>1</v>
      </c>
      <c r="D34" s="21" t="s">
        <v>371</v>
      </c>
      <c r="E34" s="21" t="s">
        <v>372</v>
      </c>
      <c r="F34" s="23" t="s">
        <v>21</v>
      </c>
    </row>
    <row r="36" spans="1:16" x14ac:dyDescent="0.2">
      <c r="A36" s="4" t="s">
        <v>144</v>
      </c>
    </row>
    <row r="37" spans="1:16" ht="12" thickBot="1" x14ac:dyDescent="0.25">
      <c r="B37" s="2" t="s">
        <v>23</v>
      </c>
      <c r="C37" s="3"/>
      <c r="D37" s="3"/>
    </row>
    <row r="38" spans="1:16" x14ac:dyDescent="0.2">
      <c r="B38" s="25" t="s">
        <v>1</v>
      </c>
      <c r="C38" s="29" t="s">
        <v>6</v>
      </c>
      <c r="D38" s="29" t="s">
        <v>365</v>
      </c>
      <c r="E38" s="29" t="s">
        <v>66</v>
      </c>
      <c r="F38" s="29" t="s">
        <v>65</v>
      </c>
      <c r="G38" s="29" t="s">
        <v>67</v>
      </c>
      <c r="H38" s="29" t="s">
        <v>36</v>
      </c>
      <c r="I38" s="29" t="s">
        <v>68</v>
      </c>
      <c r="J38" s="29" t="s">
        <v>367</v>
      </c>
      <c r="K38" s="29" t="s">
        <v>34</v>
      </c>
      <c r="L38" s="29" t="s">
        <v>35</v>
      </c>
      <c r="M38" s="29" t="s">
        <v>368</v>
      </c>
      <c r="N38" s="29" t="s">
        <v>369</v>
      </c>
      <c r="O38" s="29" t="s">
        <v>370</v>
      </c>
      <c r="P38" s="26" t="s">
        <v>371</v>
      </c>
    </row>
    <row r="39" spans="1:16" ht="12" thickBot="1" x14ac:dyDescent="0.25">
      <c r="B39" s="20" t="s">
        <v>4</v>
      </c>
      <c r="C39" s="21">
        <v>1</v>
      </c>
      <c r="D39" s="21" t="s">
        <v>366</v>
      </c>
      <c r="E39" s="21">
        <v>8.5000000000000001E-7</v>
      </c>
      <c r="F39" s="21">
        <v>5.7000000000000005E-7</v>
      </c>
      <c r="G39" s="21">
        <v>3110073902.6261501</v>
      </c>
      <c r="H39" s="21">
        <v>6.7999999999999995E-7</v>
      </c>
      <c r="I39" s="21">
        <v>2273.2871605</v>
      </c>
      <c r="J39" s="21" t="s">
        <v>375</v>
      </c>
      <c r="K39" s="21">
        <v>6.7000000000000004E-7</v>
      </c>
      <c r="L39" s="21">
        <v>6.7999999999999995E-7</v>
      </c>
      <c r="M39" s="21">
        <v>2446</v>
      </c>
      <c r="N39" s="21">
        <v>4015</v>
      </c>
      <c r="O39" s="21">
        <v>6.8999999999999996E-7</v>
      </c>
      <c r="P39" s="23" t="s">
        <v>372</v>
      </c>
    </row>
    <row r="42" spans="1:16" x14ac:dyDescent="0.2">
      <c r="A42" s="4" t="s">
        <v>145</v>
      </c>
    </row>
    <row r="44" spans="1:16" x14ac:dyDescent="0.2">
      <c r="B44" s="2" t="s">
        <v>311</v>
      </c>
      <c r="C44" s="2"/>
      <c r="D44" s="2"/>
    </row>
    <row r="45" spans="1:16" x14ac:dyDescent="0.2">
      <c r="B45" s="1" t="s">
        <v>1</v>
      </c>
      <c r="C45" s="1" t="s">
        <v>6</v>
      </c>
      <c r="D45" s="1" t="s">
        <v>37</v>
      </c>
      <c r="E45" s="1" t="s">
        <v>39</v>
      </c>
      <c r="F45" s="1" t="s">
        <v>40</v>
      </c>
      <c r="G45" s="1" t="s">
        <v>41</v>
      </c>
      <c r="H45" s="1" t="s">
        <v>42</v>
      </c>
    </row>
    <row r="46" spans="1:16" x14ac:dyDescent="0.2">
      <c r="B46" s="1" t="s">
        <v>4</v>
      </c>
      <c r="C46" s="1">
        <v>1</v>
      </c>
      <c r="D46" s="1" t="s">
        <v>373</v>
      </c>
      <c r="E46" s="1">
        <v>1.7329999999999998E-5</v>
      </c>
      <c r="F46" s="1">
        <v>1.7329999999999998E-5</v>
      </c>
      <c r="G46" s="1">
        <v>0</v>
      </c>
      <c r="H46" s="1" t="s">
        <v>379</v>
      </c>
    </row>
    <row r="47" spans="1:16" x14ac:dyDescent="0.2">
      <c r="B47" s="1" t="s">
        <v>4</v>
      </c>
      <c r="C47" s="1">
        <v>2</v>
      </c>
      <c r="D47" s="1" t="s">
        <v>38</v>
      </c>
      <c r="E47" s="1">
        <v>1.000039E-2</v>
      </c>
      <c r="F47" s="1">
        <v>1.000039E-2</v>
      </c>
      <c r="G47" s="1">
        <v>0</v>
      </c>
      <c r="H47" s="1" t="s">
        <v>378</v>
      </c>
    </row>
    <row r="48" spans="1:16" x14ac:dyDescent="0.2">
      <c r="B48" s="1" t="s">
        <v>4</v>
      </c>
      <c r="C48" s="1">
        <v>3</v>
      </c>
      <c r="D48" s="1" t="s">
        <v>230</v>
      </c>
      <c r="E48" s="1">
        <v>0</v>
      </c>
      <c r="F48" s="1">
        <v>0</v>
      </c>
      <c r="G48" s="1">
        <v>0</v>
      </c>
      <c r="H48" s="1" t="s">
        <v>376</v>
      </c>
    </row>
    <row r="49" spans="2:8" x14ac:dyDescent="0.2">
      <c r="B49" s="1" t="s">
        <v>4</v>
      </c>
      <c r="C49" s="1">
        <v>4</v>
      </c>
      <c r="D49" s="1" t="s">
        <v>197</v>
      </c>
      <c r="E49" s="1">
        <v>0</v>
      </c>
      <c r="F49" s="1">
        <v>0</v>
      </c>
      <c r="G49" s="1">
        <v>0</v>
      </c>
      <c r="H49" s="1" t="s">
        <v>377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163DA-CE61-4AD6-9AB4-91D3845338D7}">
  <sheetPr codeName="ShtCoinbase"/>
  <dimension ref="A2:P56"/>
  <sheetViews>
    <sheetView workbookViewId="0">
      <selection activeCell="B2" sqref="B2"/>
    </sheetView>
  </sheetViews>
  <sheetFormatPr defaultRowHeight="11.4" x14ac:dyDescent="0.2"/>
  <cols>
    <col min="1" max="1" width="5.77734375" style="1" customWidth="1"/>
    <col min="2" max="2" width="22.88671875" style="1" customWidth="1"/>
    <col min="3" max="3" width="33.6640625" style="1" bestFit="1" customWidth="1"/>
    <col min="4" max="4" width="11.21875" style="1" customWidth="1"/>
    <col min="5" max="7" width="8.88671875" style="1"/>
    <col min="8" max="8" width="11.88671875" style="1" customWidth="1"/>
    <col min="9" max="9" width="10.5546875" style="1" customWidth="1"/>
    <col min="10" max="10" width="8.88671875" style="1"/>
    <col min="11" max="11" width="9" style="1" customWidth="1"/>
    <col min="12" max="12" width="10.21875" style="1" customWidth="1"/>
    <col min="13" max="13" width="15.33203125" style="1" customWidth="1"/>
    <col min="14" max="14" width="10" style="1" customWidth="1"/>
    <col min="15" max="15" width="21.5546875" style="1" customWidth="1"/>
    <col min="16" max="16" width="21.88671875" style="1" customWidth="1"/>
    <col min="17" max="16384" width="8.88671875" style="1"/>
  </cols>
  <sheetData>
    <row r="2" spans="1:6" s="35" customFormat="1" ht="17.399999999999999" x14ac:dyDescent="0.3">
      <c r="B2" s="18" t="s">
        <v>380</v>
      </c>
    </row>
    <row r="3" spans="1:6" x14ac:dyDescent="0.2">
      <c r="B3" s="16" t="s">
        <v>381</v>
      </c>
    </row>
    <row r="4" spans="1:6" x14ac:dyDescent="0.2">
      <c r="B4" s="1" t="s">
        <v>142</v>
      </c>
    </row>
    <row r="6" spans="1:6" x14ac:dyDescent="0.2">
      <c r="B6" s="4" t="s">
        <v>120</v>
      </c>
      <c r="C6" s="19" t="s">
        <v>1240</v>
      </c>
    </row>
    <row r="7" spans="1:6" x14ac:dyDescent="0.2">
      <c r="B7" s="4" t="s">
        <v>121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439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1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6" x14ac:dyDescent="0.2">
      <c r="B18" s="31">
        <v>1</v>
      </c>
      <c r="C18" s="1" t="s">
        <v>18</v>
      </c>
      <c r="D18" s="1" t="s">
        <v>94</v>
      </c>
      <c r="E18" s="1">
        <v>3</v>
      </c>
      <c r="F18" s="32" t="s">
        <v>20</v>
      </c>
    </row>
    <row r="19" spans="1:16" x14ac:dyDescent="0.2">
      <c r="B19" s="31">
        <v>2</v>
      </c>
      <c r="C19" s="1" t="s">
        <v>94</v>
      </c>
      <c r="D19" s="1" t="s">
        <v>383</v>
      </c>
      <c r="E19" s="1" t="s">
        <v>38</v>
      </c>
      <c r="F19" s="32" t="s">
        <v>21</v>
      </c>
    </row>
    <row r="20" spans="1:16" x14ac:dyDescent="0.2">
      <c r="B20" s="31">
        <v>2</v>
      </c>
      <c r="C20" s="1" t="s">
        <v>94</v>
      </c>
      <c r="D20" s="1" t="s">
        <v>317</v>
      </c>
      <c r="E20" s="1" t="s">
        <v>382</v>
      </c>
      <c r="F20" s="32" t="s">
        <v>21</v>
      </c>
    </row>
    <row r="21" spans="1:16" ht="12" thickBot="1" x14ac:dyDescent="0.25">
      <c r="B21" s="20">
        <v>2</v>
      </c>
      <c r="C21" s="21" t="s">
        <v>94</v>
      </c>
      <c r="D21" s="21" t="s">
        <v>11</v>
      </c>
      <c r="E21" s="21">
        <v>4375.1957926949999</v>
      </c>
      <c r="F21" s="23" t="s">
        <v>21</v>
      </c>
    </row>
    <row r="23" spans="1:16" x14ac:dyDescent="0.2">
      <c r="A23" s="4" t="s">
        <v>144</v>
      </c>
    </row>
    <row r="24" spans="1:16" ht="12" thickBot="1" x14ac:dyDescent="0.25">
      <c r="B24" s="2" t="s">
        <v>23</v>
      </c>
      <c r="C24" s="3"/>
      <c r="D24" s="3"/>
    </row>
    <row r="25" spans="1:16" x14ac:dyDescent="0.2">
      <c r="B25" s="25" t="s">
        <v>1</v>
      </c>
      <c r="C25" s="29" t="s">
        <v>383</v>
      </c>
      <c r="D25" s="29" t="s">
        <v>317</v>
      </c>
      <c r="E25" s="26" t="s">
        <v>11</v>
      </c>
    </row>
    <row r="26" spans="1:16" ht="12" thickBot="1" x14ac:dyDescent="0.25">
      <c r="B26" s="20" t="s">
        <v>94</v>
      </c>
      <c r="C26" s="21" t="s">
        <v>38</v>
      </c>
      <c r="D26" s="21" t="s">
        <v>382</v>
      </c>
      <c r="E26" s="23">
        <v>4375.1957926949999</v>
      </c>
    </row>
    <row r="29" spans="1:16" x14ac:dyDescent="0.2">
      <c r="A29" s="4" t="s">
        <v>145</v>
      </c>
    </row>
    <row r="31" spans="1:16" x14ac:dyDescent="0.2">
      <c r="B31" s="2" t="s">
        <v>311</v>
      </c>
      <c r="C31" s="2"/>
      <c r="D31" s="2"/>
    </row>
    <row r="32" spans="1:16" x14ac:dyDescent="0.2">
      <c r="B32" s="1" t="s">
        <v>1</v>
      </c>
      <c r="C32" s="1" t="s">
        <v>6</v>
      </c>
      <c r="D32" s="1" t="s">
        <v>7</v>
      </c>
      <c r="E32" s="1" t="s">
        <v>93</v>
      </c>
      <c r="F32" s="1" t="s">
        <v>431</v>
      </c>
      <c r="G32" s="1" t="s">
        <v>432</v>
      </c>
      <c r="H32" s="1" t="s">
        <v>433</v>
      </c>
      <c r="I32" s="1" t="s">
        <v>434</v>
      </c>
      <c r="J32" s="1" t="s">
        <v>9</v>
      </c>
      <c r="K32" s="1" t="s">
        <v>11</v>
      </c>
      <c r="L32" s="1" t="s">
        <v>317</v>
      </c>
      <c r="M32" s="1" t="s">
        <v>435</v>
      </c>
      <c r="N32" s="1" t="s">
        <v>436</v>
      </c>
      <c r="O32" s="1" t="s">
        <v>437</v>
      </c>
      <c r="P32" s="1" t="s">
        <v>438</v>
      </c>
    </row>
    <row r="33" spans="2:14" x14ac:dyDescent="0.2">
      <c r="B33" s="1" t="s">
        <v>94</v>
      </c>
      <c r="C33" s="1">
        <v>1</v>
      </c>
      <c r="D33" s="1" t="s">
        <v>317</v>
      </c>
      <c r="E33" s="1" t="s">
        <v>382</v>
      </c>
      <c r="F33" s="1" t="s">
        <v>384</v>
      </c>
      <c r="G33" s="1" t="s">
        <v>385</v>
      </c>
      <c r="H33" s="1">
        <v>0</v>
      </c>
      <c r="I33" s="1">
        <v>2</v>
      </c>
      <c r="J33" s="1" t="s">
        <v>386</v>
      </c>
    </row>
    <row r="34" spans="2:14" x14ac:dyDescent="0.2">
      <c r="B34" s="1" t="s">
        <v>94</v>
      </c>
      <c r="C34" s="1">
        <v>1</v>
      </c>
      <c r="D34" s="1" t="s">
        <v>12</v>
      </c>
      <c r="E34" s="1" t="s">
        <v>382</v>
      </c>
      <c r="K34" s="1">
        <v>0</v>
      </c>
      <c r="L34" s="1" t="s">
        <v>382</v>
      </c>
    </row>
    <row r="35" spans="2:14" x14ac:dyDescent="0.2">
      <c r="B35" s="1" t="s">
        <v>94</v>
      </c>
      <c r="C35" s="1">
        <v>2</v>
      </c>
      <c r="D35" s="1" t="s">
        <v>317</v>
      </c>
      <c r="E35" s="1" t="s">
        <v>55</v>
      </c>
      <c r="F35" s="1" t="s">
        <v>387</v>
      </c>
      <c r="G35" s="1" t="s">
        <v>388</v>
      </c>
      <c r="H35" s="1">
        <v>104</v>
      </c>
      <c r="I35" s="1">
        <v>8</v>
      </c>
      <c r="J35" s="1" t="s">
        <v>389</v>
      </c>
      <c r="M35" s="1" t="s">
        <v>390</v>
      </c>
      <c r="N35" s="1" t="s">
        <v>391</v>
      </c>
    </row>
    <row r="36" spans="2:14" x14ac:dyDescent="0.2">
      <c r="B36" s="1" t="s">
        <v>94</v>
      </c>
      <c r="C36" s="1">
        <v>2</v>
      </c>
      <c r="D36" s="1" t="s">
        <v>12</v>
      </c>
      <c r="E36" s="1" t="s">
        <v>55</v>
      </c>
      <c r="K36" s="1">
        <v>0</v>
      </c>
      <c r="L36" s="1" t="s">
        <v>55</v>
      </c>
    </row>
    <row r="37" spans="2:14" x14ac:dyDescent="0.2">
      <c r="B37" s="1" t="s">
        <v>94</v>
      </c>
      <c r="C37" s="1">
        <v>3</v>
      </c>
      <c r="D37" s="1" t="s">
        <v>317</v>
      </c>
      <c r="E37" s="1" t="s">
        <v>56</v>
      </c>
      <c r="F37" s="1" t="s">
        <v>392</v>
      </c>
      <c r="G37" s="1" t="s">
        <v>393</v>
      </c>
      <c r="H37" s="1">
        <v>102</v>
      </c>
      <c r="I37" s="1">
        <v>8</v>
      </c>
      <c r="J37" s="1" t="s">
        <v>389</v>
      </c>
      <c r="M37" s="1" t="s">
        <v>394</v>
      </c>
      <c r="N37" s="1" t="s">
        <v>395</v>
      </c>
    </row>
    <row r="38" spans="2:14" x14ac:dyDescent="0.2">
      <c r="B38" s="1" t="s">
        <v>94</v>
      </c>
      <c r="C38" s="1">
        <v>3</v>
      </c>
      <c r="D38" s="1" t="s">
        <v>12</v>
      </c>
      <c r="E38" s="1" t="s">
        <v>56</v>
      </c>
      <c r="K38" s="1">
        <v>0</v>
      </c>
      <c r="L38" s="1" t="s">
        <v>56</v>
      </c>
    </row>
    <row r="39" spans="2:14" x14ac:dyDescent="0.2">
      <c r="B39" s="1" t="s">
        <v>94</v>
      </c>
      <c r="C39" s="1">
        <v>4</v>
      </c>
      <c r="D39" s="1" t="s">
        <v>317</v>
      </c>
      <c r="E39" s="1" t="s">
        <v>373</v>
      </c>
      <c r="F39" s="1" t="s">
        <v>396</v>
      </c>
      <c r="G39" s="1" t="s">
        <v>397</v>
      </c>
      <c r="H39" s="1">
        <v>101</v>
      </c>
      <c r="I39" s="1">
        <v>8</v>
      </c>
      <c r="J39" s="1" t="s">
        <v>389</v>
      </c>
      <c r="M39" s="1" t="s">
        <v>398</v>
      </c>
      <c r="N39" s="1" t="s">
        <v>399</v>
      </c>
    </row>
    <row r="40" spans="2:14" x14ac:dyDescent="0.2">
      <c r="B40" s="1" t="s">
        <v>94</v>
      </c>
      <c r="C40" s="1">
        <v>4</v>
      </c>
      <c r="D40" s="1" t="s">
        <v>12</v>
      </c>
      <c r="E40" s="1" t="s">
        <v>373</v>
      </c>
      <c r="K40" s="1">
        <v>0</v>
      </c>
      <c r="L40" s="1" t="s">
        <v>373</v>
      </c>
    </row>
    <row r="41" spans="2:14" x14ac:dyDescent="0.2">
      <c r="B41" s="1" t="s">
        <v>94</v>
      </c>
      <c r="C41" s="1">
        <v>5</v>
      </c>
      <c r="D41" s="1" t="s">
        <v>317</v>
      </c>
      <c r="E41" s="1" t="s">
        <v>38</v>
      </c>
      <c r="F41" s="1" t="s">
        <v>400</v>
      </c>
      <c r="G41" s="1" t="s">
        <v>401</v>
      </c>
      <c r="H41" s="1">
        <v>100</v>
      </c>
      <c r="I41" s="1">
        <v>8</v>
      </c>
      <c r="J41" s="1" t="s">
        <v>389</v>
      </c>
      <c r="M41" s="1" t="s">
        <v>402</v>
      </c>
      <c r="N41" s="1" t="s">
        <v>403</v>
      </c>
    </row>
    <row r="42" spans="2:14" x14ac:dyDescent="0.2">
      <c r="B42" s="1" t="s">
        <v>94</v>
      </c>
      <c r="C42" s="1">
        <v>5</v>
      </c>
      <c r="D42" s="1" t="s">
        <v>12</v>
      </c>
      <c r="E42" s="1" t="s">
        <v>38</v>
      </c>
      <c r="K42" s="1">
        <v>0</v>
      </c>
      <c r="L42" s="1" t="s">
        <v>38</v>
      </c>
    </row>
    <row r="43" spans="2:14" x14ac:dyDescent="0.2">
      <c r="B43" s="1" t="s">
        <v>94</v>
      </c>
      <c r="C43" s="1">
        <v>6</v>
      </c>
      <c r="D43" s="1" t="s">
        <v>317</v>
      </c>
      <c r="E43" s="1" t="s">
        <v>186</v>
      </c>
      <c r="F43" s="1" t="s">
        <v>404</v>
      </c>
      <c r="G43" s="1" t="s">
        <v>405</v>
      </c>
      <c r="H43" s="1">
        <v>103</v>
      </c>
      <c r="I43" s="1">
        <v>8</v>
      </c>
      <c r="J43" s="1" t="s">
        <v>389</v>
      </c>
      <c r="M43" s="1" t="s">
        <v>394</v>
      </c>
      <c r="N43" s="1" t="s">
        <v>406</v>
      </c>
    </row>
    <row r="44" spans="2:14" x14ac:dyDescent="0.2">
      <c r="B44" s="1" t="s">
        <v>94</v>
      </c>
      <c r="C44" s="1">
        <v>6</v>
      </c>
      <c r="D44" s="1" t="s">
        <v>12</v>
      </c>
      <c r="E44" s="1" t="s">
        <v>186</v>
      </c>
      <c r="K44" s="1">
        <v>0</v>
      </c>
      <c r="L44" s="1" t="s">
        <v>186</v>
      </c>
    </row>
    <row r="45" spans="2:14" x14ac:dyDescent="0.2">
      <c r="B45" s="1" t="s">
        <v>94</v>
      </c>
      <c r="C45" s="1">
        <v>7</v>
      </c>
      <c r="D45" s="1" t="s">
        <v>317</v>
      </c>
      <c r="E45" s="1" t="s">
        <v>160</v>
      </c>
      <c r="F45" s="1" t="s">
        <v>407</v>
      </c>
      <c r="G45" s="1" t="s">
        <v>408</v>
      </c>
      <c r="H45" s="1">
        <v>105</v>
      </c>
      <c r="I45" s="1">
        <v>8</v>
      </c>
      <c r="J45" s="1" t="s">
        <v>389</v>
      </c>
      <c r="M45" s="1" t="s">
        <v>394</v>
      </c>
      <c r="N45" s="1" t="s">
        <v>409</v>
      </c>
    </row>
    <row r="46" spans="2:14" x14ac:dyDescent="0.2">
      <c r="B46" s="1" t="s">
        <v>94</v>
      </c>
      <c r="C46" s="1">
        <v>7</v>
      </c>
      <c r="D46" s="1" t="s">
        <v>12</v>
      </c>
      <c r="E46" s="1" t="s">
        <v>160</v>
      </c>
      <c r="K46" s="1">
        <v>0</v>
      </c>
      <c r="L46" s="1" t="s">
        <v>160</v>
      </c>
    </row>
    <row r="47" spans="2:14" x14ac:dyDescent="0.2">
      <c r="B47" s="1" t="s">
        <v>94</v>
      </c>
      <c r="C47" s="1">
        <v>8</v>
      </c>
      <c r="D47" s="1" t="s">
        <v>317</v>
      </c>
      <c r="E47" s="1" t="s">
        <v>192</v>
      </c>
      <c r="F47" s="1" t="s">
        <v>410</v>
      </c>
      <c r="G47" s="1" t="s">
        <v>411</v>
      </c>
      <c r="H47" s="1">
        <v>106</v>
      </c>
      <c r="I47" s="1">
        <v>8</v>
      </c>
      <c r="J47" s="1" t="s">
        <v>389</v>
      </c>
      <c r="M47" s="1" t="s">
        <v>394</v>
      </c>
      <c r="N47" s="1" t="s">
        <v>412</v>
      </c>
    </row>
    <row r="48" spans="2:14" x14ac:dyDescent="0.2">
      <c r="B48" s="1" t="s">
        <v>94</v>
      </c>
      <c r="C48" s="1">
        <v>8</v>
      </c>
      <c r="D48" s="1" t="s">
        <v>12</v>
      </c>
      <c r="E48" s="1" t="s">
        <v>192</v>
      </c>
      <c r="K48" s="1">
        <v>0</v>
      </c>
      <c r="L48" s="1" t="s">
        <v>192</v>
      </c>
    </row>
    <row r="49" spans="2:16" x14ac:dyDescent="0.2">
      <c r="B49" s="1" t="s">
        <v>94</v>
      </c>
      <c r="C49" s="1">
        <v>9</v>
      </c>
      <c r="D49" s="1" t="s">
        <v>317</v>
      </c>
      <c r="E49" s="1" t="s">
        <v>297</v>
      </c>
      <c r="F49" s="1" t="s">
        <v>413</v>
      </c>
      <c r="G49" s="1" t="s">
        <v>414</v>
      </c>
      <c r="H49" s="1">
        <v>107</v>
      </c>
      <c r="I49" s="1">
        <v>6</v>
      </c>
      <c r="J49" s="1" t="s">
        <v>389</v>
      </c>
      <c r="M49" s="1" t="s">
        <v>394</v>
      </c>
      <c r="N49" s="1" t="s">
        <v>415</v>
      </c>
    </row>
    <row r="50" spans="2:16" x14ac:dyDescent="0.2">
      <c r="B50" s="1" t="s">
        <v>94</v>
      </c>
      <c r="C50" s="1">
        <v>9</v>
      </c>
      <c r="D50" s="1" t="s">
        <v>12</v>
      </c>
      <c r="E50" s="1" t="s">
        <v>297</v>
      </c>
      <c r="K50" s="1">
        <v>0</v>
      </c>
      <c r="L50" s="1" t="s">
        <v>297</v>
      </c>
    </row>
    <row r="51" spans="2:16" x14ac:dyDescent="0.2">
      <c r="B51" s="1" t="s">
        <v>94</v>
      </c>
      <c r="C51" s="1">
        <v>10</v>
      </c>
      <c r="D51" s="1" t="s">
        <v>317</v>
      </c>
      <c r="E51" s="1" t="s">
        <v>188</v>
      </c>
      <c r="F51" s="1" t="s">
        <v>416</v>
      </c>
      <c r="G51" s="1" t="s">
        <v>417</v>
      </c>
      <c r="H51" s="1">
        <v>108</v>
      </c>
      <c r="I51" s="1">
        <v>8</v>
      </c>
      <c r="J51" s="1" t="s">
        <v>389</v>
      </c>
      <c r="M51" s="1" t="s">
        <v>418</v>
      </c>
      <c r="N51" s="1" t="s">
        <v>419</v>
      </c>
    </row>
    <row r="52" spans="2:16" x14ac:dyDescent="0.2">
      <c r="B52" s="1" t="s">
        <v>94</v>
      </c>
      <c r="C52" s="1">
        <v>10</v>
      </c>
      <c r="D52" s="1" t="s">
        <v>12</v>
      </c>
      <c r="E52" s="1" t="s">
        <v>188</v>
      </c>
      <c r="K52" s="1">
        <v>0</v>
      </c>
      <c r="L52" s="1" t="s">
        <v>188</v>
      </c>
    </row>
    <row r="53" spans="2:16" x14ac:dyDescent="0.2">
      <c r="B53" s="1" t="s">
        <v>94</v>
      </c>
      <c r="C53" s="1">
        <v>11</v>
      </c>
      <c r="D53" s="1" t="s">
        <v>317</v>
      </c>
      <c r="E53" s="1" t="s">
        <v>203</v>
      </c>
      <c r="F53" s="1" t="s">
        <v>203</v>
      </c>
      <c r="G53" s="1" t="s">
        <v>420</v>
      </c>
      <c r="H53" s="1">
        <v>125</v>
      </c>
      <c r="I53" s="1">
        <v>6</v>
      </c>
      <c r="J53" s="1" t="s">
        <v>389</v>
      </c>
      <c r="M53" s="1" t="s">
        <v>421</v>
      </c>
      <c r="N53" s="1" t="s">
        <v>422</v>
      </c>
      <c r="O53" s="1" t="s">
        <v>423</v>
      </c>
      <c r="P53" s="1" t="s">
        <v>424</v>
      </c>
    </row>
    <row r="54" spans="2:16" x14ac:dyDescent="0.2">
      <c r="B54" s="1" t="s">
        <v>94</v>
      </c>
      <c r="C54" s="1">
        <v>11</v>
      </c>
      <c r="D54" s="1" t="s">
        <v>12</v>
      </c>
      <c r="E54" s="1" t="s">
        <v>203</v>
      </c>
      <c r="K54" s="1">
        <v>0</v>
      </c>
      <c r="L54" s="1" t="s">
        <v>203</v>
      </c>
    </row>
    <row r="55" spans="2:16" x14ac:dyDescent="0.2">
      <c r="B55" s="1" t="s">
        <v>94</v>
      </c>
      <c r="C55" s="1">
        <v>12</v>
      </c>
      <c r="D55" s="1" t="s">
        <v>317</v>
      </c>
      <c r="E55" s="1" t="s">
        <v>230</v>
      </c>
      <c r="F55" s="1" t="s">
        <v>425</v>
      </c>
      <c r="G55" s="1" t="s">
        <v>426</v>
      </c>
      <c r="H55" s="1">
        <v>127</v>
      </c>
      <c r="I55" s="1">
        <v>7</v>
      </c>
      <c r="J55" s="1" t="s">
        <v>389</v>
      </c>
      <c r="M55" s="1" t="s">
        <v>427</v>
      </c>
      <c r="N55" s="1" t="s">
        <v>428</v>
      </c>
      <c r="O55" s="1" t="s">
        <v>429</v>
      </c>
      <c r="P55" s="1" t="s">
        <v>430</v>
      </c>
    </row>
    <row r="56" spans="2:16" x14ac:dyDescent="0.2">
      <c r="B56" s="1" t="s">
        <v>94</v>
      </c>
      <c r="C56" s="1">
        <v>12</v>
      </c>
      <c r="D56" s="1" t="s">
        <v>12</v>
      </c>
      <c r="E56" s="1" t="s">
        <v>230</v>
      </c>
      <c r="K56" s="1">
        <v>0</v>
      </c>
      <c r="L56" s="1" t="s">
        <v>230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9263F-B49A-4426-8C12-B169B5F6E731}">
  <sheetPr codeName="ShtCoinbasePro"/>
  <dimension ref="A2:H39"/>
  <sheetViews>
    <sheetView workbookViewId="0">
      <selection activeCell="C8" sqref="C8"/>
    </sheetView>
  </sheetViews>
  <sheetFormatPr defaultRowHeight="11.4" x14ac:dyDescent="0.2"/>
  <cols>
    <col min="1" max="1" width="3.33203125" style="1" customWidth="1"/>
    <col min="2" max="2" width="22.88671875" style="1" customWidth="1"/>
    <col min="3" max="3" width="93.88671875" style="1" bestFit="1" customWidth="1"/>
    <col min="4" max="4" width="10.21875" style="1" customWidth="1"/>
    <col min="5" max="5" width="9.33203125" style="1" customWidth="1"/>
    <col min="6" max="6" width="10.5546875" style="1" customWidth="1"/>
    <col min="7" max="7" width="13.44140625" style="1" bestFit="1" customWidth="1"/>
    <col min="8" max="8" width="31.88671875" style="1" bestFit="1" customWidth="1"/>
    <col min="9" max="16384" width="8.88671875" style="1"/>
  </cols>
  <sheetData>
    <row r="2" spans="1:6" ht="17.399999999999999" x14ac:dyDescent="0.3">
      <c r="B2" s="18" t="s">
        <v>441</v>
      </c>
    </row>
    <row r="3" spans="1:6" x14ac:dyDescent="0.2">
      <c r="B3" s="16" t="s">
        <v>440</v>
      </c>
    </row>
    <row r="4" spans="1:6" x14ac:dyDescent="0.2">
      <c r="B4" s="1" t="s">
        <v>142</v>
      </c>
    </row>
    <row r="6" spans="1:6" x14ac:dyDescent="0.2">
      <c r="B6" s="4" t="s">
        <v>123</v>
      </c>
      <c r="C6" s="19" t="s">
        <v>1240</v>
      </c>
    </row>
    <row r="7" spans="1:6" x14ac:dyDescent="0.2">
      <c r="B7" s="4" t="s">
        <v>124</v>
      </c>
      <c r="C7" s="19" t="s">
        <v>1240</v>
      </c>
    </row>
    <row r="8" spans="1:6" x14ac:dyDescent="0.2">
      <c r="B8" s="4" t="s">
        <v>122</v>
      </c>
      <c r="C8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446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7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7" x14ac:dyDescent="0.2">
      <c r="B18" s="31">
        <v>1</v>
      </c>
      <c r="C18" s="1" t="s">
        <v>18</v>
      </c>
      <c r="D18" s="1" t="s">
        <v>323</v>
      </c>
      <c r="E18" s="1">
        <v>146.66999999999999</v>
      </c>
      <c r="F18" s="32" t="s">
        <v>21</v>
      </c>
    </row>
    <row r="19" spans="1:7" x14ac:dyDescent="0.2">
      <c r="B19" s="31">
        <v>1</v>
      </c>
      <c r="C19" s="1" t="s">
        <v>18</v>
      </c>
      <c r="D19" s="1" t="s">
        <v>24</v>
      </c>
      <c r="E19" s="1">
        <v>150.13</v>
      </c>
      <c r="F19" s="32" t="s">
        <v>21</v>
      </c>
    </row>
    <row r="20" spans="1:7" x14ac:dyDescent="0.2">
      <c r="B20" s="31">
        <v>1</v>
      </c>
      <c r="C20" s="1" t="s">
        <v>18</v>
      </c>
      <c r="D20" s="1" t="s">
        <v>25</v>
      </c>
      <c r="E20" s="1">
        <v>143.27000000000001</v>
      </c>
      <c r="F20" s="32" t="s">
        <v>21</v>
      </c>
    </row>
    <row r="21" spans="1:7" x14ac:dyDescent="0.2">
      <c r="B21" s="31">
        <v>1</v>
      </c>
      <c r="C21" s="1" t="s">
        <v>18</v>
      </c>
      <c r="D21" s="1" t="s">
        <v>310</v>
      </c>
      <c r="E21" s="1">
        <v>13870.49913373</v>
      </c>
      <c r="F21" s="32" t="s">
        <v>21</v>
      </c>
    </row>
    <row r="22" spans="1:7" x14ac:dyDescent="0.2">
      <c r="B22" s="31">
        <v>1</v>
      </c>
      <c r="C22" s="1" t="s">
        <v>18</v>
      </c>
      <c r="D22" s="1" t="s">
        <v>27</v>
      </c>
      <c r="E22" s="1">
        <v>145.80000000000001</v>
      </c>
      <c r="F22" s="32" t="s">
        <v>21</v>
      </c>
    </row>
    <row r="23" spans="1:7" ht="12" thickBot="1" x14ac:dyDescent="0.25">
      <c r="B23" s="20">
        <v>1</v>
      </c>
      <c r="C23" s="21" t="s">
        <v>18</v>
      </c>
      <c r="D23" s="21" t="s">
        <v>442</v>
      </c>
      <c r="E23" s="21">
        <v>458830.45809412998</v>
      </c>
      <c r="F23" s="23" t="s">
        <v>21</v>
      </c>
    </row>
    <row r="25" spans="1:7" x14ac:dyDescent="0.2">
      <c r="A25" s="4" t="s">
        <v>144</v>
      </c>
    </row>
    <row r="26" spans="1:7" ht="12" thickBot="1" x14ac:dyDescent="0.25">
      <c r="B26" s="2" t="s">
        <v>23</v>
      </c>
      <c r="C26" s="3"/>
      <c r="D26" s="3"/>
    </row>
    <row r="27" spans="1:7" x14ac:dyDescent="0.2">
      <c r="B27" s="25" t="s">
        <v>323</v>
      </c>
      <c r="C27" s="29" t="s">
        <v>24</v>
      </c>
      <c r="D27" s="29" t="s">
        <v>25</v>
      </c>
      <c r="E27" s="29" t="s">
        <v>310</v>
      </c>
      <c r="F27" s="29" t="s">
        <v>27</v>
      </c>
      <c r="G27" s="26" t="s">
        <v>442</v>
      </c>
    </row>
    <row r="28" spans="1:7" ht="12" thickBot="1" x14ac:dyDescent="0.25">
      <c r="B28" s="20">
        <v>146.66999999999999</v>
      </c>
      <c r="C28" s="21">
        <v>150.13</v>
      </c>
      <c r="D28" s="21">
        <v>143.27000000000001</v>
      </c>
      <c r="E28" s="21">
        <v>13870.49913373</v>
      </c>
      <c r="F28" s="21">
        <v>145.80000000000001</v>
      </c>
      <c r="G28" s="23">
        <v>458830.45809412998</v>
      </c>
    </row>
    <row r="30" spans="1:7" x14ac:dyDescent="0.2">
      <c r="A30" s="4" t="s">
        <v>145</v>
      </c>
    </row>
    <row r="32" spans="1:7" x14ac:dyDescent="0.2">
      <c r="B32" s="2" t="s">
        <v>311</v>
      </c>
      <c r="C32" s="2"/>
      <c r="D32" s="2"/>
    </row>
    <row r="33" spans="2:8" x14ac:dyDescent="0.2">
      <c r="B33" s="1" t="s">
        <v>1</v>
      </c>
      <c r="C33" s="1" t="s">
        <v>443</v>
      </c>
      <c r="D33" s="1" t="s">
        <v>317</v>
      </c>
      <c r="E33" s="1" t="s">
        <v>12</v>
      </c>
      <c r="F33" s="1" t="s">
        <v>318</v>
      </c>
      <c r="G33" s="1" t="s">
        <v>444</v>
      </c>
      <c r="H33" s="1" t="s">
        <v>445</v>
      </c>
    </row>
    <row r="34" spans="2:8" x14ac:dyDescent="0.2">
      <c r="B34" s="1">
        <v>1</v>
      </c>
      <c r="C34" s="1" t="s">
        <v>448</v>
      </c>
      <c r="D34" s="1" t="s">
        <v>38</v>
      </c>
      <c r="E34" s="1">
        <v>0</v>
      </c>
      <c r="F34" s="1">
        <v>0</v>
      </c>
      <c r="G34" s="1">
        <v>0</v>
      </c>
      <c r="H34" s="1" t="s">
        <v>447</v>
      </c>
    </row>
    <row r="35" spans="2:8" x14ac:dyDescent="0.2">
      <c r="B35" s="1">
        <v>2</v>
      </c>
      <c r="C35" s="1" t="s">
        <v>449</v>
      </c>
      <c r="D35" s="1" t="s">
        <v>55</v>
      </c>
      <c r="E35" s="1">
        <v>0</v>
      </c>
      <c r="F35" s="1">
        <v>0</v>
      </c>
      <c r="G35" s="1">
        <v>0</v>
      </c>
      <c r="H35" s="1" t="s">
        <v>447</v>
      </c>
    </row>
    <row r="36" spans="2:8" x14ac:dyDescent="0.2">
      <c r="B36" s="1">
        <v>3</v>
      </c>
      <c r="C36" s="1" t="s">
        <v>450</v>
      </c>
      <c r="D36" s="1" t="s">
        <v>382</v>
      </c>
      <c r="E36" s="1">
        <v>0</v>
      </c>
      <c r="F36" s="1">
        <v>0</v>
      </c>
      <c r="G36" s="1">
        <v>0</v>
      </c>
      <c r="H36" s="1" t="s">
        <v>447</v>
      </c>
    </row>
    <row r="37" spans="2:8" x14ac:dyDescent="0.2">
      <c r="B37" s="1">
        <v>4</v>
      </c>
      <c r="C37" s="1" t="s">
        <v>451</v>
      </c>
      <c r="D37" s="1" t="s">
        <v>56</v>
      </c>
      <c r="E37" s="1">
        <v>0</v>
      </c>
      <c r="F37" s="1">
        <v>0</v>
      </c>
      <c r="G37" s="1">
        <v>0</v>
      </c>
      <c r="H37" s="1" t="s">
        <v>447</v>
      </c>
    </row>
    <row r="38" spans="2:8" x14ac:dyDescent="0.2">
      <c r="B38" s="1">
        <v>5</v>
      </c>
      <c r="C38" s="1" t="s">
        <v>452</v>
      </c>
      <c r="D38" s="1" t="s">
        <v>186</v>
      </c>
      <c r="E38" s="1">
        <v>0</v>
      </c>
      <c r="F38" s="1">
        <v>0</v>
      </c>
      <c r="G38" s="1">
        <v>0</v>
      </c>
      <c r="H38" s="1" t="s">
        <v>447</v>
      </c>
    </row>
    <row r="39" spans="2:8" x14ac:dyDescent="0.2">
      <c r="B39" s="1">
        <v>6</v>
      </c>
      <c r="C39" s="40" t="s">
        <v>453</v>
      </c>
      <c r="D39" s="1" t="s">
        <v>373</v>
      </c>
      <c r="E39" s="1">
        <v>0</v>
      </c>
      <c r="F39" s="1">
        <v>0</v>
      </c>
      <c r="G39" s="1">
        <v>0</v>
      </c>
      <c r="H39" s="1" t="s">
        <v>447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ShtCoinone"/>
  <dimension ref="A1:O89"/>
  <sheetViews>
    <sheetView workbookViewId="0">
      <selection activeCell="C7" sqref="C7"/>
    </sheetView>
  </sheetViews>
  <sheetFormatPr defaultRowHeight="13.8" x14ac:dyDescent="0.25"/>
  <cols>
    <col min="1" max="1" width="3.6640625" style="41" customWidth="1"/>
    <col min="2" max="6" width="17.21875" style="41" customWidth="1"/>
    <col min="7" max="16384" width="8.88671875" style="41"/>
  </cols>
  <sheetData>
    <row r="1" spans="1:6" s="1" customFormat="1" ht="11.4" x14ac:dyDescent="0.2"/>
    <row r="2" spans="1:6" s="1" customFormat="1" ht="17.399999999999999" x14ac:dyDescent="0.3">
      <c r="B2" s="18" t="s">
        <v>454</v>
      </c>
    </row>
    <row r="3" spans="1:6" s="1" customFormat="1" ht="11.4" x14ac:dyDescent="0.2">
      <c r="B3" s="16" t="s">
        <v>455</v>
      </c>
    </row>
    <row r="4" spans="1:6" s="1" customFormat="1" ht="11.4" x14ac:dyDescent="0.2">
      <c r="B4" s="1" t="s">
        <v>142</v>
      </c>
    </row>
    <row r="5" spans="1:6" s="1" customFormat="1" ht="11.4" x14ac:dyDescent="0.2"/>
    <row r="6" spans="1:6" s="1" customFormat="1" ht="11.4" x14ac:dyDescent="0.2">
      <c r="B6" s="4" t="s">
        <v>45</v>
      </c>
      <c r="C6" s="19" t="s">
        <v>1240</v>
      </c>
    </row>
    <row r="7" spans="1:6" s="1" customFormat="1" ht="11.4" x14ac:dyDescent="0.2">
      <c r="B7" s="4" t="s">
        <v>46</v>
      </c>
      <c r="C7" s="19" t="s">
        <v>1240</v>
      </c>
    </row>
    <row r="8" spans="1:6" s="1" customFormat="1" ht="11.4" x14ac:dyDescent="0.2"/>
    <row r="9" spans="1:6" s="1" customFormat="1" ht="11.4" x14ac:dyDescent="0.2"/>
    <row r="10" spans="1:6" s="1" customFormat="1" ht="11.4" x14ac:dyDescent="0.2"/>
    <row r="11" spans="1:6" s="1" customFormat="1" ht="11.4" x14ac:dyDescent="0.2">
      <c r="A11" s="4" t="s">
        <v>141</v>
      </c>
    </row>
    <row r="12" spans="1:6" s="1" customFormat="1" ht="11.4" x14ac:dyDescent="0.2">
      <c r="A12" s="4"/>
    </row>
    <row r="13" spans="1:6" s="1" customFormat="1" ht="11.4" x14ac:dyDescent="0.2">
      <c r="B13" s="1" t="s">
        <v>503</v>
      </c>
    </row>
    <row r="14" spans="1:6" s="1" customFormat="1" ht="11.4" x14ac:dyDescent="0.2"/>
    <row r="15" spans="1:6" s="1" customFormat="1" ht="11.4" x14ac:dyDescent="0.2">
      <c r="A15" s="4" t="s">
        <v>143</v>
      </c>
    </row>
    <row r="16" spans="1:6" s="1" customFormat="1" ht="12" thickBot="1" x14ac:dyDescent="0.25">
      <c r="B16" s="2" t="s">
        <v>22</v>
      </c>
      <c r="C16" s="3"/>
      <c r="D16" s="3"/>
      <c r="E16" s="3"/>
      <c r="F16" s="3"/>
    </row>
    <row r="17" spans="2:6" s="1" customFormat="1" ht="11.4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s="1" customFormat="1" ht="11.4" x14ac:dyDescent="0.2">
      <c r="B18" s="31">
        <v>1</v>
      </c>
      <c r="C18" s="1" t="s">
        <v>18</v>
      </c>
      <c r="D18" s="1" t="s">
        <v>317</v>
      </c>
      <c r="E18" s="1" t="s">
        <v>456</v>
      </c>
      <c r="F18" s="32" t="s">
        <v>21</v>
      </c>
    </row>
    <row r="19" spans="2:6" s="1" customFormat="1" ht="11.4" x14ac:dyDescent="0.2">
      <c r="B19" s="31">
        <v>1</v>
      </c>
      <c r="C19" s="1" t="s">
        <v>18</v>
      </c>
      <c r="D19" s="1" t="s">
        <v>310</v>
      </c>
      <c r="E19" s="1">
        <v>17192.014299999999</v>
      </c>
      <c r="F19" s="32" t="s">
        <v>21</v>
      </c>
    </row>
    <row r="20" spans="2:6" s="1" customFormat="1" ht="11.4" x14ac:dyDescent="0.2">
      <c r="B20" s="31">
        <v>1</v>
      </c>
      <c r="C20" s="1" t="s">
        <v>18</v>
      </c>
      <c r="D20" s="1" t="s">
        <v>27</v>
      </c>
      <c r="E20" s="1">
        <v>186400</v>
      </c>
      <c r="F20" s="32" t="s">
        <v>21</v>
      </c>
    </row>
    <row r="21" spans="2:6" s="1" customFormat="1" ht="11.4" x14ac:dyDescent="0.2">
      <c r="B21" s="31">
        <v>1</v>
      </c>
      <c r="C21" s="1" t="s">
        <v>18</v>
      </c>
      <c r="D21" s="1" t="s">
        <v>457</v>
      </c>
      <c r="E21" s="1">
        <v>187350</v>
      </c>
      <c r="F21" s="32" t="s">
        <v>21</v>
      </c>
    </row>
    <row r="22" spans="2:6" s="1" customFormat="1" ht="11.4" x14ac:dyDescent="0.2">
      <c r="B22" s="31">
        <v>1</v>
      </c>
      <c r="C22" s="1" t="s">
        <v>18</v>
      </c>
      <c r="D22" s="1" t="s">
        <v>319</v>
      </c>
      <c r="E22" s="1">
        <v>1554553637</v>
      </c>
      <c r="F22" s="32" t="s">
        <v>21</v>
      </c>
    </row>
    <row r="23" spans="2:6" s="1" customFormat="1" ht="11.4" x14ac:dyDescent="0.2">
      <c r="B23" s="31">
        <v>1</v>
      </c>
      <c r="C23" s="1" t="s">
        <v>18</v>
      </c>
      <c r="D23" s="1" t="s">
        <v>458</v>
      </c>
      <c r="E23" s="1">
        <v>178600</v>
      </c>
      <c r="F23" s="32" t="s">
        <v>21</v>
      </c>
    </row>
    <row r="24" spans="2:6" s="1" customFormat="1" ht="11.4" x14ac:dyDescent="0.2">
      <c r="B24" s="31">
        <v>1</v>
      </c>
      <c r="C24" s="1" t="s">
        <v>18</v>
      </c>
      <c r="D24" s="1" t="s">
        <v>459</v>
      </c>
      <c r="E24" s="1">
        <v>0</v>
      </c>
      <c r="F24" s="32" t="s">
        <v>21</v>
      </c>
    </row>
    <row r="25" spans="2:6" s="1" customFormat="1" ht="11.4" x14ac:dyDescent="0.2">
      <c r="B25" s="31">
        <v>1</v>
      </c>
      <c r="C25" s="1" t="s">
        <v>18</v>
      </c>
      <c r="D25" s="1" t="s">
        <v>460</v>
      </c>
      <c r="E25" s="1">
        <v>24808.7255</v>
      </c>
      <c r="F25" s="32" t="s">
        <v>21</v>
      </c>
    </row>
    <row r="26" spans="2:6" s="1" customFormat="1" ht="11.4" x14ac:dyDescent="0.2">
      <c r="B26" s="31">
        <v>1</v>
      </c>
      <c r="C26" s="1" t="s">
        <v>18</v>
      </c>
      <c r="D26" s="1" t="s">
        <v>24</v>
      </c>
      <c r="E26" s="1">
        <v>187700</v>
      </c>
      <c r="F26" s="32" t="s">
        <v>21</v>
      </c>
    </row>
    <row r="27" spans="2:6" s="1" customFormat="1" ht="11.4" x14ac:dyDescent="0.2">
      <c r="B27" s="31">
        <v>1</v>
      </c>
      <c r="C27" s="1" t="s">
        <v>18</v>
      </c>
      <c r="D27" s="1" t="s">
        <v>4</v>
      </c>
      <c r="E27" s="1" t="s">
        <v>32</v>
      </c>
      <c r="F27" s="32" t="s">
        <v>21</v>
      </c>
    </row>
    <row r="28" spans="2:6" s="1" customFormat="1" ht="11.4" x14ac:dyDescent="0.2">
      <c r="B28" s="31">
        <v>1</v>
      </c>
      <c r="C28" s="1" t="s">
        <v>18</v>
      </c>
      <c r="D28" s="1" t="s">
        <v>461</v>
      </c>
      <c r="E28" s="1">
        <v>179100</v>
      </c>
      <c r="F28" s="32" t="s">
        <v>21</v>
      </c>
    </row>
    <row r="29" spans="2:6" s="1" customFormat="1" ht="11.4" x14ac:dyDescent="0.2">
      <c r="B29" s="31">
        <v>1</v>
      </c>
      <c r="C29" s="1" t="s">
        <v>18</v>
      </c>
      <c r="D29" s="1" t="s">
        <v>462</v>
      </c>
      <c r="E29" s="1">
        <v>187350</v>
      </c>
      <c r="F29" s="32" t="s">
        <v>21</v>
      </c>
    </row>
    <row r="30" spans="2:6" s="1" customFormat="1" ht="11.4" x14ac:dyDescent="0.2">
      <c r="B30" s="31">
        <v>1</v>
      </c>
      <c r="C30" s="1" t="s">
        <v>18</v>
      </c>
      <c r="D30" s="1" t="s">
        <v>463</v>
      </c>
      <c r="E30" s="1">
        <v>191000</v>
      </c>
      <c r="F30" s="32" t="s">
        <v>21</v>
      </c>
    </row>
    <row r="31" spans="2:6" s="1" customFormat="1" ht="12" thickBot="1" x14ac:dyDescent="0.25">
      <c r="B31" s="20">
        <v>1</v>
      </c>
      <c r="C31" s="21" t="s">
        <v>18</v>
      </c>
      <c r="D31" s="21" t="s">
        <v>25</v>
      </c>
      <c r="E31" s="21">
        <v>182700</v>
      </c>
      <c r="F31" s="23" t="s">
        <v>21</v>
      </c>
    </row>
    <row r="32" spans="2:6" s="1" customFormat="1" ht="11.4" x14ac:dyDescent="0.2"/>
    <row r="33" spans="1:15" s="1" customFormat="1" ht="11.4" x14ac:dyDescent="0.2">
      <c r="A33" s="4" t="s">
        <v>144</v>
      </c>
    </row>
    <row r="34" spans="1:15" s="1" customFormat="1" ht="12" thickBot="1" x14ac:dyDescent="0.25">
      <c r="B34" s="2" t="s">
        <v>23</v>
      </c>
      <c r="C34" s="3"/>
      <c r="D34" s="3"/>
      <c r="E34" s="3"/>
      <c r="F34" s="3"/>
    </row>
    <row r="35" spans="1:15" s="1" customFormat="1" ht="11.4" x14ac:dyDescent="0.2">
      <c r="B35" s="25" t="s">
        <v>317</v>
      </c>
      <c r="C35" s="29" t="s">
        <v>310</v>
      </c>
      <c r="D35" s="29" t="s">
        <v>27</v>
      </c>
      <c r="E35" s="29" t="s">
        <v>457</v>
      </c>
      <c r="F35" s="29" t="s">
        <v>319</v>
      </c>
      <c r="G35" s="29" t="s">
        <v>458</v>
      </c>
      <c r="H35" s="29" t="s">
        <v>459</v>
      </c>
      <c r="I35" s="29" t="s">
        <v>460</v>
      </c>
      <c r="J35" s="29" t="s">
        <v>24</v>
      </c>
      <c r="K35" s="29" t="s">
        <v>4</v>
      </c>
      <c r="L35" s="29" t="s">
        <v>461</v>
      </c>
      <c r="M35" s="29" t="s">
        <v>462</v>
      </c>
      <c r="N35" s="29" t="s">
        <v>463</v>
      </c>
      <c r="O35" s="26" t="s">
        <v>25</v>
      </c>
    </row>
    <row r="36" spans="1:15" s="1" customFormat="1" ht="12" thickBot="1" x14ac:dyDescent="0.25">
      <c r="B36" s="20" t="s">
        <v>456</v>
      </c>
      <c r="C36" s="21">
        <v>17192.014299999999</v>
      </c>
      <c r="D36" s="21">
        <v>186400</v>
      </c>
      <c r="E36" s="21">
        <v>187350</v>
      </c>
      <c r="F36" s="21">
        <v>1554553637</v>
      </c>
      <c r="G36" s="21">
        <v>178600</v>
      </c>
      <c r="H36" s="21">
        <v>0</v>
      </c>
      <c r="I36" s="21">
        <v>24808.7255</v>
      </c>
      <c r="J36" s="21">
        <v>187700</v>
      </c>
      <c r="K36" s="21" t="s">
        <v>32</v>
      </c>
      <c r="L36" s="21">
        <v>179100</v>
      </c>
      <c r="M36" s="21">
        <v>187350</v>
      </c>
      <c r="N36" s="21">
        <v>191000</v>
      </c>
      <c r="O36" s="23">
        <v>182700</v>
      </c>
    </row>
    <row r="37" spans="1:15" s="1" customFormat="1" ht="11.4" x14ac:dyDescent="0.2"/>
    <row r="38" spans="1:15" s="1" customFormat="1" ht="11.4" x14ac:dyDescent="0.2">
      <c r="A38" s="4" t="s">
        <v>145</v>
      </c>
    </row>
    <row r="39" spans="1:15" s="1" customFormat="1" ht="11.4" x14ac:dyDescent="0.2"/>
    <row r="40" spans="1:15" s="1" customFormat="1" ht="11.4" x14ac:dyDescent="0.2">
      <c r="B40" s="2" t="s">
        <v>311</v>
      </c>
      <c r="C40" s="2"/>
      <c r="D40" s="2"/>
    </row>
    <row r="41" spans="1:15" s="1" customFormat="1" ht="11.4" x14ac:dyDescent="0.2">
      <c r="B41" s="1" t="s">
        <v>1</v>
      </c>
      <c r="C41" s="1" t="s">
        <v>502</v>
      </c>
      <c r="D41" s="1" t="s">
        <v>12</v>
      </c>
    </row>
    <row r="42" spans="1:15" s="1" customFormat="1" ht="11.4" x14ac:dyDescent="0.2">
      <c r="B42" s="1" t="s">
        <v>464</v>
      </c>
      <c r="C42" s="1">
        <v>0</v>
      </c>
      <c r="D42" s="1">
        <v>0</v>
      </c>
    </row>
    <row r="43" spans="1:15" s="1" customFormat="1" ht="11.4" x14ac:dyDescent="0.2">
      <c r="B43" s="1" t="s">
        <v>465</v>
      </c>
      <c r="C43" s="1">
        <v>0</v>
      </c>
      <c r="D43" s="1">
        <v>0</v>
      </c>
    </row>
    <row r="44" spans="1:15" s="1" customFormat="1" ht="11.4" x14ac:dyDescent="0.2">
      <c r="B44" s="1" t="s">
        <v>466</v>
      </c>
      <c r="C44" s="1">
        <v>0</v>
      </c>
      <c r="D44" s="1">
        <v>0</v>
      </c>
    </row>
    <row r="45" spans="1:15" s="1" customFormat="1" ht="11.4" x14ac:dyDescent="0.2">
      <c r="B45" s="1" t="s">
        <v>467</v>
      </c>
      <c r="C45" s="1">
        <v>0</v>
      </c>
      <c r="D45" s="1">
        <v>0</v>
      </c>
    </row>
    <row r="46" spans="1:15" s="1" customFormat="1" ht="11.4" x14ac:dyDescent="0.2">
      <c r="B46" s="1" t="s">
        <v>468</v>
      </c>
      <c r="C46" s="1">
        <v>0</v>
      </c>
      <c r="D46" s="1">
        <v>0</v>
      </c>
    </row>
    <row r="47" spans="1:15" s="1" customFormat="1" ht="11.4" x14ac:dyDescent="0.2">
      <c r="B47" s="1" t="s">
        <v>315</v>
      </c>
      <c r="C47" s="1">
        <v>0</v>
      </c>
      <c r="D47" s="1">
        <v>0</v>
      </c>
    </row>
    <row r="48" spans="1:15" s="1" customFormat="1" ht="11.4" x14ac:dyDescent="0.2">
      <c r="B48" s="1" t="s">
        <v>469</v>
      </c>
      <c r="C48" s="1">
        <v>0</v>
      </c>
      <c r="D48" s="1">
        <v>0</v>
      </c>
    </row>
    <row r="49" spans="2:4" s="1" customFormat="1" ht="11.4" x14ac:dyDescent="0.2">
      <c r="B49" s="1" t="s">
        <v>316</v>
      </c>
      <c r="C49" s="1">
        <v>0</v>
      </c>
      <c r="D49" s="1">
        <v>0</v>
      </c>
    </row>
    <row r="50" spans="2:4" s="1" customFormat="1" ht="11.4" x14ac:dyDescent="0.2">
      <c r="B50" s="1" t="s">
        <v>470</v>
      </c>
      <c r="C50" s="1">
        <v>0</v>
      </c>
      <c r="D50" s="1">
        <v>0</v>
      </c>
    </row>
    <row r="51" spans="2:4" s="1" customFormat="1" ht="11.4" x14ac:dyDescent="0.2">
      <c r="B51" s="1" t="s">
        <v>471</v>
      </c>
      <c r="C51" s="1">
        <v>0</v>
      </c>
      <c r="D51" s="1">
        <v>0</v>
      </c>
    </row>
    <row r="52" spans="2:4" s="1" customFormat="1" ht="11.4" x14ac:dyDescent="0.2">
      <c r="B52" s="1" t="s">
        <v>472</v>
      </c>
      <c r="C52" s="1">
        <v>0</v>
      </c>
      <c r="D52" s="1">
        <v>0</v>
      </c>
    </row>
    <row r="53" spans="2:4" s="1" customFormat="1" ht="11.4" x14ac:dyDescent="0.2">
      <c r="B53" s="1" t="s">
        <v>473</v>
      </c>
      <c r="C53" s="1">
        <v>0</v>
      </c>
      <c r="D53" s="1">
        <v>0</v>
      </c>
    </row>
    <row r="54" spans="2:4" s="1" customFormat="1" ht="11.4" x14ac:dyDescent="0.2">
      <c r="B54" s="1" t="s">
        <v>474</v>
      </c>
      <c r="C54" s="1">
        <v>0</v>
      </c>
      <c r="D54" s="1">
        <v>0</v>
      </c>
    </row>
    <row r="55" spans="2:4" s="1" customFormat="1" ht="11.4" x14ac:dyDescent="0.2">
      <c r="B55" s="1" t="s">
        <v>475</v>
      </c>
      <c r="C55" s="1">
        <v>0</v>
      </c>
      <c r="D55" s="1">
        <v>0</v>
      </c>
    </row>
    <row r="56" spans="2:4" s="1" customFormat="1" ht="11.4" x14ac:dyDescent="0.2">
      <c r="B56" s="1" t="s">
        <v>476</v>
      </c>
      <c r="C56" s="1">
        <v>0</v>
      </c>
      <c r="D56" s="1">
        <v>0</v>
      </c>
    </row>
    <row r="57" spans="2:4" s="1" customFormat="1" ht="11.4" x14ac:dyDescent="0.2">
      <c r="B57" s="1" t="s">
        <v>477</v>
      </c>
      <c r="C57" s="1">
        <v>0</v>
      </c>
      <c r="D57" s="1">
        <v>0</v>
      </c>
    </row>
    <row r="58" spans="2:4" s="1" customFormat="1" ht="11.4" x14ac:dyDescent="0.2">
      <c r="B58" s="1" t="s">
        <v>313</v>
      </c>
      <c r="C58" s="1">
        <v>0</v>
      </c>
      <c r="D58" s="1">
        <v>0</v>
      </c>
    </row>
    <row r="59" spans="2:4" s="1" customFormat="1" ht="11.4" x14ac:dyDescent="0.2">
      <c r="B59" s="1" t="s">
        <v>478</v>
      </c>
      <c r="C59" s="1">
        <v>0</v>
      </c>
      <c r="D59" s="1">
        <v>0</v>
      </c>
    </row>
    <row r="60" spans="2:4" s="1" customFormat="1" ht="11.4" x14ac:dyDescent="0.2">
      <c r="B60" s="1" t="s">
        <v>479</v>
      </c>
      <c r="C60" s="1">
        <v>0</v>
      </c>
      <c r="D60" s="1">
        <v>0</v>
      </c>
    </row>
    <row r="61" spans="2:4" s="1" customFormat="1" ht="11.4" x14ac:dyDescent="0.2">
      <c r="B61" s="1" t="s">
        <v>480</v>
      </c>
      <c r="C61" s="1">
        <v>0</v>
      </c>
      <c r="D61" s="1">
        <v>0</v>
      </c>
    </row>
    <row r="62" spans="2:4" s="1" customFormat="1" ht="11.4" x14ac:dyDescent="0.2">
      <c r="B62" s="1" t="s">
        <v>481</v>
      </c>
      <c r="C62" s="1">
        <v>0</v>
      </c>
      <c r="D62" s="1">
        <v>0</v>
      </c>
    </row>
    <row r="63" spans="2:4" s="1" customFormat="1" ht="11.4" x14ac:dyDescent="0.2">
      <c r="B63" s="1" t="s">
        <v>482</v>
      </c>
      <c r="C63" s="1">
        <v>0</v>
      </c>
      <c r="D63" s="1">
        <v>0</v>
      </c>
    </row>
    <row r="64" spans="2:4" s="1" customFormat="1" ht="11.4" x14ac:dyDescent="0.2">
      <c r="B64" s="1" t="s">
        <v>483</v>
      </c>
      <c r="C64" s="1">
        <v>0</v>
      </c>
      <c r="D64" s="1">
        <v>0</v>
      </c>
    </row>
    <row r="65" spans="2:4" s="1" customFormat="1" ht="11.4" x14ac:dyDescent="0.2">
      <c r="B65" s="1" t="s">
        <v>484</v>
      </c>
      <c r="C65" s="1">
        <v>0</v>
      </c>
      <c r="D65" s="1">
        <v>0</v>
      </c>
    </row>
    <row r="66" spans="2:4" s="1" customFormat="1" ht="11.4" x14ac:dyDescent="0.2">
      <c r="B66" s="1" t="s">
        <v>485</v>
      </c>
      <c r="C66" s="1">
        <v>0</v>
      </c>
      <c r="D66" s="1">
        <v>0</v>
      </c>
    </row>
    <row r="67" spans="2:4" s="1" customFormat="1" ht="11.4" x14ac:dyDescent="0.2">
      <c r="B67" s="1" t="s">
        <v>486</v>
      </c>
      <c r="C67" s="1">
        <v>0</v>
      </c>
      <c r="D67" s="1">
        <v>0</v>
      </c>
    </row>
    <row r="68" spans="2:4" s="1" customFormat="1" ht="11.4" x14ac:dyDescent="0.2">
      <c r="B68" s="1" t="s">
        <v>487</v>
      </c>
      <c r="C68" s="1">
        <v>0</v>
      </c>
      <c r="D68" s="1">
        <v>0</v>
      </c>
    </row>
    <row r="69" spans="2:4" s="1" customFormat="1" ht="11.4" x14ac:dyDescent="0.2">
      <c r="B69" s="1" t="s">
        <v>488</v>
      </c>
      <c r="C69" s="1">
        <v>0</v>
      </c>
      <c r="D69" s="1">
        <v>0</v>
      </c>
    </row>
    <row r="70" spans="2:4" s="1" customFormat="1" ht="11.4" x14ac:dyDescent="0.2">
      <c r="B70" s="1" t="s">
        <v>489</v>
      </c>
      <c r="C70" s="1">
        <v>0</v>
      </c>
      <c r="D70" s="1">
        <v>0</v>
      </c>
    </row>
    <row r="71" spans="2:4" s="1" customFormat="1" ht="11.4" x14ac:dyDescent="0.2">
      <c r="B71" s="1" t="s">
        <v>490</v>
      </c>
      <c r="C71" s="1">
        <v>0</v>
      </c>
      <c r="D71" s="1">
        <v>0</v>
      </c>
    </row>
    <row r="72" spans="2:4" s="1" customFormat="1" ht="11.4" x14ac:dyDescent="0.2">
      <c r="B72" s="1" t="s">
        <v>94</v>
      </c>
      <c r="C72" s="1">
        <v>0</v>
      </c>
      <c r="D72" s="1">
        <v>0</v>
      </c>
    </row>
    <row r="73" spans="2:4" s="1" customFormat="1" ht="11.4" x14ac:dyDescent="0.2">
      <c r="B73" s="1" t="s">
        <v>491</v>
      </c>
      <c r="C73" s="1">
        <v>0</v>
      </c>
      <c r="D73" s="1">
        <v>0</v>
      </c>
    </row>
    <row r="74" spans="2:4" s="1" customFormat="1" ht="11.4" x14ac:dyDescent="0.2">
      <c r="B74" s="1" t="s">
        <v>314</v>
      </c>
      <c r="C74" s="1">
        <v>0</v>
      </c>
      <c r="D74" s="1">
        <v>0</v>
      </c>
    </row>
    <row r="75" spans="2:4" s="1" customFormat="1" ht="11.4" x14ac:dyDescent="0.2">
      <c r="B75" s="1" t="s">
        <v>492</v>
      </c>
      <c r="C75" s="1">
        <v>0</v>
      </c>
      <c r="D75" s="1">
        <v>0</v>
      </c>
    </row>
    <row r="76" spans="2:4" s="1" customFormat="1" ht="11.4" x14ac:dyDescent="0.2">
      <c r="B76" s="1" t="s">
        <v>493</v>
      </c>
      <c r="C76" s="1">
        <v>0</v>
      </c>
      <c r="D76" s="1">
        <v>0</v>
      </c>
    </row>
    <row r="77" spans="2:4" s="1" customFormat="1" ht="11.4" x14ac:dyDescent="0.2">
      <c r="B77" s="1" t="s">
        <v>494</v>
      </c>
      <c r="C77" s="1">
        <v>0</v>
      </c>
      <c r="D77" s="1">
        <v>0</v>
      </c>
    </row>
    <row r="78" spans="2:4" s="1" customFormat="1" ht="11.4" x14ac:dyDescent="0.2">
      <c r="B78" s="1" t="s">
        <v>495</v>
      </c>
      <c r="C78" s="1">
        <v>0</v>
      </c>
      <c r="D78" s="1">
        <v>0</v>
      </c>
    </row>
    <row r="79" spans="2:4" s="1" customFormat="1" ht="11.4" x14ac:dyDescent="0.2">
      <c r="B79" s="1" t="s">
        <v>496</v>
      </c>
      <c r="C79" s="1">
        <v>0</v>
      </c>
      <c r="D79" s="1">
        <v>0</v>
      </c>
    </row>
    <row r="80" spans="2:4" s="1" customFormat="1" ht="11.4" x14ac:dyDescent="0.2">
      <c r="B80" s="1" t="s">
        <v>497</v>
      </c>
      <c r="C80" s="1">
        <v>0</v>
      </c>
      <c r="D80" s="1">
        <v>0</v>
      </c>
    </row>
    <row r="81" spans="2:4" s="1" customFormat="1" ht="11.4" x14ac:dyDescent="0.2">
      <c r="B81" s="1" t="s">
        <v>498</v>
      </c>
      <c r="C81" s="1">
        <v>0</v>
      </c>
      <c r="D81" s="1">
        <v>0</v>
      </c>
    </row>
    <row r="82" spans="2:4" s="1" customFormat="1" ht="11.4" x14ac:dyDescent="0.2">
      <c r="B82" s="1" t="s">
        <v>456</v>
      </c>
      <c r="C82" s="1">
        <v>0</v>
      </c>
      <c r="D82" s="1">
        <v>0</v>
      </c>
    </row>
    <row r="83" spans="2:4" s="1" customFormat="1" ht="11.4" x14ac:dyDescent="0.2">
      <c r="B83" s="1" t="s">
        <v>499</v>
      </c>
      <c r="C83" s="1">
        <v>0</v>
      </c>
      <c r="D83" s="1">
        <v>0</v>
      </c>
    </row>
    <row r="84" spans="2:4" s="1" customFormat="1" ht="11.4" x14ac:dyDescent="0.2">
      <c r="B84" s="1" t="s">
        <v>500</v>
      </c>
      <c r="C84" s="1">
        <v>0</v>
      </c>
      <c r="D84" s="1">
        <v>0</v>
      </c>
    </row>
    <row r="85" spans="2:4" s="1" customFormat="1" ht="11.4" x14ac:dyDescent="0.2">
      <c r="B85" s="1" t="s">
        <v>501</v>
      </c>
      <c r="C85" s="1">
        <v>0</v>
      </c>
      <c r="D85" s="1">
        <v>0</v>
      </c>
    </row>
    <row r="86" spans="2:4" s="1" customFormat="1" x14ac:dyDescent="0.25">
      <c r="B86" s="41"/>
      <c r="C86" s="41"/>
      <c r="D86" s="41"/>
    </row>
    <row r="87" spans="2:4" s="1" customFormat="1" x14ac:dyDescent="0.25">
      <c r="B87" s="41"/>
      <c r="C87" s="41"/>
      <c r="D87" s="41"/>
    </row>
    <row r="88" spans="2:4" s="1" customFormat="1" x14ac:dyDescent="0.25">
      <c r="B88" s="41"/>
      <c r="C88" s="41"/>
      <c r="D88" s="41"/>
    </row>
    <row r="89" spans="2:4" s="1" customFormat="1" x14ac:dyDescent="0.25">
      <c r="B89" s="41"/>
      <c r="C89" s="41"/>
      <c r="D89" s="41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BB5C4-771E-47C6-8AD7-8177B5C076AA}">
  <sheetPr codeName="ShtCoinspot"/>
  <dimension ref="A2:F95"/>
  <sheetViews>
    <sheetView workbookViewId="0">
      <selection activeCell="C7" sqref="C7"/>
    </sheetView>
  </sheetViews>
  <sheetFormatPr defaultRowHeight="11.4" x14ac:dyDescent="0.2"/>
  <cols>
    <col min="1" max="1" width="5" style="1" customWidth="1"/>
    <col min="2" max="2" width="20.77734375" style="1" customWidth="1"/>
    <col min="3" max="3" width="18.21875" style="1" bestFit="1" customWidth="1"/>
    <col min="4" max="16384" width="8.88671875" style="1"/>
  </cols>
  <sheetData>
    <row r="2" spans="1:6" s="35" customFormat="1" ht="17.399999999999999" x14ac:dyDescent="0.3">
      <c r="B2" s="18" t="s">
        <v>504</v>
      </c>
    </row>
    <row r="3" spans="1:6" x14ac:dyDescent="0.2">
      <c r="B3" s="16" t="s">
        <v>455</v>
      </c>
    </row>
    <row r="4" spans="1:6" x14ac:dyDescent="0.2">
      <c r="B4" s="1" t="s">
        <v>142</v>
      </c>
    </row>
    <row r="6" spans="1:6" x14ac:dyDescent="0.2">
      <c r="B6" s="4" t="s">
        <v>115</v>
      </c>
      <c r="C6" s="19" t="s">
        <v>1240</v>
      </c>
    </row>
    <row r="7" spans="1:6" x14ac:dyDescent="0.2">
      <c r="B7" s="4" t="s">
        <v>116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1239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505</v>
      </c>
      <c r="E18" s="1" t="s">
        <v>506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507</v>
      </c>
      <c r="E19" s="1">
        <v>10</v>
      </c>
      <c r="F19" s="32" t="s">
        <v>20</v>
      </c>
    </row>
    <row r="20" spans="2:6" x14ac:dyDescent="0.2">
      <c r="B20" s="31">
        <v>2</v>
      </c>
      <c r="C20" s="1" t="s">
        <v>507</v>
      </c>
      <c r="D20" s="1" t="s">
        <v>315</v>
      </c>
      <c r="E20" s="1">
        <v>3</v>
      </c>
      <c r="F20" s="32" t="s">
        <v>20</v>
      </c>
    </row>
    <row r="21" spans="2:6" x14ac:dyDescent="0.2">
      <c r="B21" s="31">
        <v>3</v>
      </c>
      <c r="C21" s="1" t="s">
        <v>315</v>
      </c>
      <c r="D21" s="1" t="s">
        <v>320</v>
      </c>
      <c r="E21" s="1">
        <v>7309.1403200000004</v>
      </c>
      <c r="F21" s="32" t="s">
        <v>21</v>
      </c>
    </row>
    <row r="22" spans="2:6" x14ac:dyDescent="0.2">
      <c r="B22" s="31">
        <v>3</v>
      </c>
      <c r="C22" s="1" t="s">
        <v>315</v>
      </c>
      <c r="D22" s="1" t="s">
        <v>322</v>
      </c>
      <c r="E22" s="1">
        <v>7400</v>
      </c>
      <c r="F22" s="32" t="s">
        <v>21</v>
      </c>
    </row>
    <row r="23" spans="2:6" x14ac:dyDescent="0.2">
      <c r="B23" s="31">
        <v>3</v>
      </c>
      <c r="C23" s="1" t="s">
        <v>315</v>
      </c>
      <c r="D23" s="1" t="s">
        <v>27</v>
      </c>
      <c r="E23" s="1">
        <v>7449</v>
      </c>
      <c r="F23" s="32" t="s">
        <v>21</v>
      </c>
    </row>
    <row r="24" spans="2:6" x14ac:dyDescent="0.2">
      <c r="B24" s="31">
        <v>2</v>
      </c>
      <c r="C24" s="1" t="s">
        <v>507</v>
      </c>
      <c r="D24" s="1" t="s">
        <v>497</v>
      </c>
      <c r="E24" s="1">
        <v>3</v>
      </c>
      <c r="F24" s="32" t="s">
        <v>20</v>
      </c>
    </row>
    <row r="25" spans="2:6" x14ac:dyDescent="0.2">
      <c r="B25" s="31">
        <v>3</v>
      </c>
      <c r="C25" s="1" t="s">
        <v>497</v>
      </c>
      <c r="D25" s="1" t="s">
        <v>320</v>
      </c>
      <c r="E25" s="1">
        <v>127.5</v>
      </c>
      <c r="F25" s="32" t="s">
        <v>21</v>
      </c>
    </row>
    <row r="26" spans="2:6" x14ac:dyDescent="0.2">
      <c r="B26" s="31">
        <v>3</v>
      </c>
      <c r="C26" s="1" t="s">
        <v>497</v>
      </c>
      <c r="D26" s="1" t="s">
        <v>322</v>
      </c>
      <c r="E26" s="1">
        <v>130</v>
      </c>
      <c r="F26" s="32" t="s">
        <v>21</v>
      </c>
    </row>
    <row r="27" spans="2:6" x14ac:dyDescent="0.2">
      <c r="B27" s="31">
        <v>3</v>
      </c>
      <c r="C27" s="1" t="s">
        <v>497</v>
      </c>
      <c r="D27" s="1" t="s">
        <v>27</v>
      </c>
      <c r="E27" s="1">
        <v>129</v>
      </c>
      <c r="F27" s="32" t="s">
        <v>21</v>
      </c>
    </row>
    <row r="28" spans="2:6" x14ac:dyDescent="0.2">
      <c r="B28" s="31">
        <v>2</v>
      </c>
      <c r="C28" s="1" t="s">
        <v>507</v>
      </c>
      <c r="D28" s="1" t="s">
        <v>508</v>
      </c>
      <c r="E28" s="1">
        <v>3</v>
      </c>
      <c r="F28" s="32" t="s">
        <v>20</v>
      </c>
    </row>
    <row r="29" spans="2:6" x14ac:dyDescent="0.2">
      <c r="B29" s="31">
        <v>3</v>
      </c>
      <c r="C29" s="1" t="s">
        <v>508</v>
      </c>
      <c r="D29" s="1" t="s">
        <v>320</v>
      </c>
      <c r="E29" s="1">
        <v>4.4999999999999997E-3</v>
      </c>
      <c r="F29" s="32" t="s">
        <v>21</v>
      </c>
    </row>
    <row r="30" spans="2:6" x14ac:dyDescent="0.2">
      <c r="B30" s="31">
        <v>3</v>
      </c>
      <c r="C30" s="1" t="s">
        <v>508</v>
      </c>
      <c r="D30" s="1" t="s">
        <v>322</v>
      </c>
      <c r="E30" s="1">
        <v>4.8989999999999997E-3</v>
      </c>
      <c r="F30" s="32" t="s">
        <v>21</v>
      </c>
    </row>
    <row r="31" spans="2:6" x14ac:dyDescent="0.2">
      <c r="B31" s="31">
        <v>3</v>
      </c>
      <c r="C31" s="1" t="s">
        <v>508</v>
      </c>
      <c r="D31" s="1" t="s">
        <v>27</v>
      </c>
      <c r="E31" s="1">
        <v>4.6750100000000003E-3</v>
      </c>
      <c r="F31" s="32" t="s">
        <v>21</v>
      </c>
    </row>
    <row r="32" spans="2:6" x14ac:dyDescent="0.2">
      <c r="B32" s="31">
        <v>2</v>
      </c>
      <c r="C32" s="1" t="s">
        <v>507</v>
      </c>
      <c r="D32" s="1" t="s">
        <v>456</v>
      </c>
      <c r="E32" s="1">
        <v>3</v>
      </c>
      <c r="F32" s="32" t="s">
        <v>20</v>
      </c>
    </row>
    <row r="33" spans="2:6" x14ac:dyDescent="0.2">
      <c r="B33" s="31">
        <v>3</v>
      </c>
      <c r="C33" s="1" t="s">
        <v>456</v>
      </c>
      <c r="D33" s="1" t="s">
        <v>320</v>
      </c>
      <c r="E33" s="1">
        <v>255.01</v>
      </c>
      <c r="F33" s="32" t="s">
        <v>21</v>
      </c>
    </row>
    <row r="34" spans="2:6" x14ac:dyDescent="0.2">
      <c r="B34" s="31">
        <v>3</v>
      </c>
      <c r="C34" s="1" t="s">
        <v>456</v>
      </c>
      <c r="D34" s="1" t="s">
        <v>322</v>
      </c>
      <c r="E34" s="1">
        <v>260.8440817</v>
      </c>
      <c r="F34" s="32" t="s">
        <v>21</v>
      </c>
    </row>
    <row r="35" spans="2:6" x14ac:dyDescent="0.2">
      <c r="B35" s="31">
        <v>3</v>
      </c>
      <c r="C35" s="1" t="s">
        <v>456</v>
      </c>
      <c r="D35" s="1" t="s">
        <v>27</v>
      </c>
      <c r="E35" s="1">
        <v>254</v>
      </c>
      <c r="F35" s="32" t="s">
        <v>21</v>
      </c>
    </row>
    <row r="36" spans="2:6" x14ac:dyDescent="0.2">
      <c r="B36" s="31">
        <v>2</v>
      </c>
      <c r="C36" s="1" t="s">
        <v>507</v>
      </c>
      <c r="D36" s="1" t="s">
        <v>509</v>
      </c>
      <c r="E36" s="1">
        <v>3</v>
      </c>
      <c r="F36" s="32" t="s">
        <v>20</v>
      </c>
    </row>
    <row r="37" spans="2:6" x14ac:dyDescent="0.2">
      <c r="B37" s="31">
        <v>3</v>
      </c>
      <c r="C37" s="1" t="s">
        <v>509</v>
      </c>
      <c r="D37" s="1" t="s">
        <v>320</v>
      </c>
      <c r="E37" s="1">
        <v>0.185</v>
      </c>
      <c r="F37" s="32" t="s">
        <v>21</v>
      </c>
    </row>
    <row r="38" spans="2:6" x14ac:dyDescent="0.2">
      <c r="B38" s="31">
        <v>3</v>
      </c>
      <c r="C38" s="1" t="s">
        <v>509</v>
      </c>
      <c r="D38" s="1" t="s">
        <v>322</v>
      </c>
      <c r="E38" s="1">
        <v>0.19</v>
      </c>
      <c r="F38" s="32" t="s">
        <v>21</v>
      </c>
    </row>
    <row r="39" spans="2:6" x14ac:dyDescent="0.2">
      <c r="B39" s="31">
        <v>3</v>
      </c>
      <c r="C39" s="1" t="s">
        <v>509</v>
      </c>
      <c r="D39" s="1" t="s">
        <v>27</v>
      </c>
      <c r="E39" s="1">
        <v>0.185</v>
      </c>
      <c r="F39" s="32" t="s">
        <v>21</v>
      </c>
    </row>
    <row r="40" spans="2:6" x14ac:dyDescent="0.2">
      <c r="B40" s="31">
        <v>2</v>
      </c>
      <c r="C40" s="1" t="s">
        <v>507</v>
      </c>
      <c r="D40" s="1" t="s">
        <v>510</v>
      </c>
      <c r="E40" s="1">
        <v>3</v>
      </c>
      <c r="F40" s="32" t="s">
        <v>20</v>
      </c>
    </row>
    <row r="41" spans="2:6" x14ac:dyDescent="0.2">
      <c r="B41" s="31">
        <v>3</v>
      </c>
      <c r="C41" s="1" t="s">
        <v>510</v>
      </c>
      <c r="D41" s="1" t="s">
        <v>320</v>
      </c>
      <c r="E41" s="1">
        <v>18.399999999999999</v>
      </c>
      <c r="F41" s="32" t="s">
        <v>21</v>
      </c>
    </row>
    <row r="42" spans="2:6" x14ac:dyDescent="0.2">
      <c r="B42" s="31">
        <v>3</v>
      </c>
      <c r="C42" s="1" t="s">
        <v>510</v>
      </c>
      <c r="D42" s="1" t="s">
        <v>322</v>
      </c>
      <c r="E42" s="1">
        <v>19.100000000000001</v>
      </c>
      <c r="F42" s="32" t="s">
        <v>21</v>
      </c>
    </row>
    <row r="43" spans="2:6" x14ac:dyDescent="0.2">
      <c r="B43" s="31">
        <v>3</v>
      </c>
      <c r="C43" s="1" t="s">
        <v>510</v>
      </c>
      <c r="D43" s="1" t="s">
        <v>27</v>
      </c>
      <c r="E43" s="1">
        <v>18.399999999999999</v>
      </c>
      <c r="F43" s="32" t="s">
        <v>21</v>
      </c>
    </row>
    <row r="44" spans="2:6" x14ac:dyDescent="0.2">
      <c r="B44" s="31">
        <v>2</v>
      </c>
      <c r="C44" s="1" t="s">
        <v>507</v>
      </c>
      <c r="D44" s="1" t="s">
        <v>482</v>
      </c>
      <c r="E44" s="1">
        <v>3</v>
      </c>
      <c r="F44" s="32" t="s">
        <v>20</v>
      </c>
    </row>
    <row r="45" spans="2:6" x14ac:dyDescent="0.2">
      <c r="B45" s="31">
        <v>3</v>
      </c>
      <c r="C45" s="1" t="s">
        <v>482</v>
      </c>
      <c r="D45" s="1" t="s">
        <v>320</v>
      </c>
      <c r="E45" s="1">
        <v>0.504</v>
      </c>
      <c r="F45" s="32" t="s">
        <v>21</v>
      </c>
    </row>
    <row r="46" spans="2:6" x14ac:dyDescent="0.2">
      <c r="B46" s="31">
        <v>3</v>
      </c>
      <c r="C46" s="1" t="s">
        <v>482</v>
      </c>
      <c r="D46" s="1" t="s">
        <v>322</v>
      </c>
      <c r="E46" s="1">
        <v>0.51476403000000004</v>
      </c>
      <c r="F46" s="32" t="s">
        <v>21</v>
      </c>
    </row>
    <row r="47" spans="2:6" x14ac:dyDescent="0.2">
      <c r="B47" s="31">
        <v>3</v>
      </c>
      <c r="C47" s="1" t="s">
        <v>482</v>
      </c>
      <c r="D47" s="1" t="s">
        <v>27</v>
      </c>
      <c r="E47" s="1">
        <v>0.50239999999999996</v>
      </c>
      <c r="F47" s="32" t="s">
        <v>21</v>
      </c>
    </row>
    <row r="48" spans="2:6" x14ac:dyDescent="0.2">
      <c r="B48" s="31">
        <v>2</v>
      </c>
      <c r="C48" s="1" t="s">
        <v>507</v>
      </c>
      <c r="D48" s="1" t="s">
        <v>472</v>
      </c>
      <c r="E48" s="1">
        <v>3</v>
      </c>
      <c r="F48" s="32" t="s">
        <v>20</v>
      </c>
    </row>
    <row r="49" spans="2:6" x14ac:dyDescent="0.2">
      <c r="B49" s="31">
        <v>3</v>
      </c>
      <c r="C49" s="1" t="s">
        <v>472</v>
      </c>
      <c r="D49" s="1" t="s">
        <v>320</v>
      </c>
      <c r="E49" s="1">
        <v>3.9300000000000002E-2</v>
      </c>
      <c r="F49" s="32" t="s">
        <v>21</v>
      </c>
    </row>
    <row r="50" spans="2:6" x14ac:dyDescent="0.2">
      <c r="B50" s="31">
        <v>3</v>
      </c>
      <c r="C50" s="1" t="s">
        <v>472</v>
      </c>
      <c r="D50" s="1" t="s">
        <v>322</v>
      </c>
      <c r="E50" s="1">
        <v>4.1000000000000002E-2</v>
      </c>
      <c r="F50" s="32" t="s">
        <v>21</v>
      </c>
    </row>
    <row r="51" spans="2:6" x14ac:dyDescent="0.2">
      <c r="B51" s="31">
        <v>3</v>
      </c>
      <c r="C51" s="1" t="s">
        <v>472</v>
      </c>
      <c r="D51" s="1" t="s">
        <v>27</v>
      </c>
      <c r="E51" s="1">
        <v>4.1000000000000002E-2</v>
      </c>
      <c r="F51" s="32" t="s">
        <v>21</v>
      </c>
    </row>
    <row r="52" spans="2:6" x14ac:dyDescent="0.2">
      <c r="B52" s="31">
        <v>2</v>
      </c>
      <c r="C52" s="1" t="s">
        <v>507</v>
      </c>
      <c r="D52" s="1" t="s">
        <v>316</v>
      </c>
      <c r="E52" s="1">
        <v>3</v>
      </c>
      <c r="F52" s="32" t="s">
        <v>20</v>
      </c>
    </row>
    <row r="53" spans="2:6" x14ac:dyDescent="0.2">
      <c r="B53" s="31">
        <v>3</v>
      </c>
      <c r="C53" s="1" t="s">
        <v>316</v>
      </c>
      <c r="D53" s="1" t="s">
        <v>320</v>
      </c>
      <c r="E53" s="1">
        <v>7.5477533000000001</v>
      </c>
      <c r="F53" s="32" t="s">
        <v>21</v>
      </c>
    </row>
    <row r="54" spans="2:6" x14ac:dyDescent="0.2">
      <c r="B54" s="31">
        <v>3</v>
      </c>
      <c r="C54" s="1" t="s">
        <v>316</v>
      </c>
      <c r="D54" s="1" t="s">
        <v>322</v>
      </c>
      <c r="E54" s="1">
        <v>8</v>
      </c>
      <c r="F54" s="32" t="s">
        <v>21</v>
      </c>
    </row>
    <row r="55" spans="2:6" x14ac:dyDescent="0.2">
      <c r="B55" s="31">
        <v>3</v>
      </c>
      <c r="C55" s="1" t="s">
        <v>316</v>
      </c>
      <c r="D55" s="1" t="s">
        <v>27</v>
      </c>
      <c r="E55" s="1">
        <v>7.9177999999999997</v>
      </c>
      <c r="F55" s="32" t="s">
        <v>21</v>
      </c>
    </row>
    <row r="56" spans="2:6" x14ac:dyDescent="0.2">
      <c r="B56" s="31">
        <v>2</v>
      </c>
      <c r="C56" s="1" t="s">
        <v>507</v>
      </c>
      <c r="D56" s="1" t="s">
        <v>511</v>
      </c>
      <c r="E56" s="1">
        <v>3</v>
      </c>
      <c r="F56" s="32" t="s">
        <v>20</v>
      </c>
    </row>
    <row r="57" spans="2:6" x14ac:dyDescent="0.2">
      <c r="B57" s="31">
        <v>3</v>
      </c>
      <c r="C57" s="1" t="s">
        <v>511</v>
      </c>
      <c r="D57" s="1" t="s">
        <v>320</v>
      </c>
      <c r="E57" s="1">
        <v>0.18</v>
      </c>
      <c r="F57" s="32" t="s">
        <v>21</v>
      </c>
    </row>
    <row r="58" spans="2:6" x14ac:dyDescent="0.2">
      <c r="B58" s="31">
        <v>3</v>
      </c>
      <c r="C58" s="1" t="s">
        <v>511</v>
      </c>
      <c r="D58" s="1" t="s">
        <v>322</v>
      </c>
      <c r="E58" s="1">
        <v>0.19500000000000001</v>
      </c>
      <c r="F58" s="32" t="s">
        <v>21</v>
      </c>
    </row>
    <row r="59" spans="2:6" ht="12" thickBot="1" x14ac:dyDescent="0.25">
      <c r="B59" s="20">
        <v>3</v>
      </c>
      <c r="C59" s="21" t="s">
        <v>511</v>
      </c>
      <c r="D59" s="21" t="s">
        <v>27</v>
      </c>
      <c r="E59" s="21">
        <v>0.188</v>
      </c>
      <c r="F59" s="23" t="s">
        <v>21</v>
      </c>
    </row>
    <row r="65" spans="1:6" x14ac:dyDescent="0.2">
      <c r="A65" s="4" t="s">
        <v>144</v>
      </c>
    </row>
    <row r="66" spans="1:6" ht="12" thickBot="1" x14ac:dyDescent="0.25">
      <c r="B66" s="2" t="s">
        <v>23</v>
      </c>
      <c r="C66" s="3"/>
      <c r="D66" s="3"/>
      <c r="E66" s="3"/>
      <c r="F66" s="3"/>
    </row>
    <row r="67" spans="1:6" x14ac:dyDescent="0.2">
      <c r="B67" s="25" t="s">
        <v>1</v>
      </c>
      <c r="C67" s="29" t="s">
        <v>6</v>
      </c>
      <c r="D67" s="29" t="s">
        <v>320</v>
      </c>
      <c r="E67" s="29" t="s">
        <v>322</v>
      </c>
      <c r="F67" s="26" t="s">
        <v>27</v>
      </c>
    </row>
    <row r="68" spans="1:6" x14ac:dyDescent="0.2">
      <c r="B68" s="31" t="s">
        <v>507</v>
      </c>
      <c r="C68" s="1" t="s">
        <v>315</v>
      </c>
      <c r="D68" s="1">
        <v>7309.1403200000004</v>
      </c>
      <c r="E68" s="1">
        <v>7400</v>
      </c>
      <c r="F68" s="32">
        <v>7449</v>
      </c>
    </row>
    <row r="69" spans="1:6" x14ac:dyDescent="0.2">
      <c r="B69" s="31" t="s">
        <v>507</v>
      </c>
      <c r="C69" s="1" t="s">
        <v>497</v>
      </c>
      <c r="D69" s="1">
        <v>127.5</v>
      </c>
      <c r="E69" s="1">
        <v>130</v>
      </c>
      <c r="F69" s="32">
        <v>129</v>
      </c>
    </row>
    <row r="70" spans="1:6" x14ac:dyDescent="0.2">
      <c r="B70" s="31" t="s">
        <v>507</v>
      </c>
      <c r="C70" s="1" t="s">
        <v>508</v>
      </c>
      <c r="D70" s="1">
        <v>4.4999999999999997E-3</v>
      </c>
      <c r="E70" s="1">
        <v>4.8989999999999997E-3</v>
      </c>
      <c r="F70" s="32">
        <v>4.6750100000000003E-3</v>
      </c>
    </row>
    <row r="71" spans="1:6" x14ac:dyDescent="0.2">
      <c r="B71" s="31" t="s">
        <v>507</v>
      </c>
      <c r="C71" s="1" t="s">
        <v>456</v>
      </c>
      <c r="D71" s="1">
        <v>255.01</v>
      </c>
      <c r="E71" s="1">
        <v>260.8440817</v>
      </c>
      <c r="F71" s="32">
        <v>254</v>
      </c>
    </row>
    <row r="72" spans="1:6" x14ac:dyDescent="0.2">
      <c r="B72" s="31" t="s">
        <v>507</v>
      </c>
      <c r="C72" s="1" t="s">
        <v>509</v>
      </c>
      <c r="D72" s="1">
        <v>0.185</v>
      </c>
      <c r="E72" s="1">
        <v>0.19</v>
      </c>
      <c r="F72" s="32">
        <v>0.185</v>
      </c>
    </row>
    <row r="73" spans="1:6" x14ac:dyDescent="0.2">
      <c r="B73" s="31" t="s">
        <v>507</v>
      </c>
      <c r="C73" s="1" t="s">
        <v>510</v>
      </c>
      <c r="D73" s="1">
        <v>18.399999999999999</v>
      </c>
      <c r="E73" s="1">
        <v>19.100000000000001</v>
      </c>
      <c r="F73" s="32">
        <v>18.399999999999999</v>
      </c>
    </row>
    <row r="74" spans="1:6" x14ac:dyDescent="0.2">
      <c r="B74" s="31" t="s">
        <v>507</v>
      </c>
      <c r="C74" s="1" t="s">
        <v>482</v>
      </c>
      <c r="D74" s="1">
        <v>0.504</v>
      </c>
      <c r="E74" s="1">
        <v>0.51476403000000004</v>
      </c>
      <c r="F74" s="32">
        <v>0.50239999999999996</v>
      </c>
    </row>
    <row r="75" spans="1:6" x14ac:dyDescent="0.2">
      <c r="B75" s="31" t="s">
        <v>507</v>
      </c>
      <c r="C75" s="1" t="s">
        <v>472</v>
      </c>
      <c r="D75" s="1">
        <v>3.9300000000000002E-2</v>
      </c>
      <c r="E75" s="1">
        <v>4.1000000000000002E-2</v>
      </c>
      <c r="F75" s="32">
        <v>4.1000000000000002E-2</v>
      </c>
    </row>
    <row r="76" spans="1:6" x14ac:dyDescent="0.2">
      <c r="B76" s="31" t="s">
        <v>507</v>
      </c>
      <c r="C76" s="1" t="s">
        <v>316</v>
      </c>
      <c r="D76" s="1">
        <v>7.5477533000000001</v>
      </c>
      <c r="E76" s="1">
        <v>8</v>
      </c>
      <c r="F76" s="32">
        <v>7.9177999999999997</v>
      </c>
    </row>
    <row r="77" spans="1:6" ht="12" thickBot="1" x14ac:dyDescent="0.25">
      <c r="B77" s="20" t="s">
        <v>507</v>
      </c>
      <c r="C77" s="21" t="s">
        <v>511</v>
      </c>
      <c r="D77" s="21">
        <v>0.18</v>
      </c>
      <c r="E77" s="21">
        <v>0.19500000000000001</v>
      </c>
      <c r="F77" s="23">
        <v>0.188</v>
      </c>
    </row>
    <row r="80" spans="1:6" x14ac:dyDescent="0.2">
      <c r="A80" s="4" t="s">
        <v>145</v>
      </c>
    </row>
    <row r="82" spans="2:4" x14ac:dyDescent="0.2">
      <c r="B82" s="2" t="s">
        <v>311</v>
      </c>
      <c r="C82" s="2"/>
      <c r="D82" s="2"/>
    </row>
    <row r="83" spans="2:4" x14ac:dyDescent="0.2">
      <c r="B83" s="1" t="s">
        <v>1</v>
      </c>
      <c r="C83" s="1" t="s">
        <v>12</v>
      </c>
    </row>
    <row r="84" spans="2:4" x14ac:dyDescent="0.2">
      <c r="B84" s="1" t="s">
        <v>315</v>
      </c>
      <c r="C84" s="1">
        <v>0</v>
      </c>
    </row>
    <row r="85" spans="2:4" x14ac:dyDescent="0.2">
      <c r="B85" s="1" t="s">
        <v>497</v>
      </c>
      <c r="C85" s="1">
        <v>0</v>
      </c>
    </row>
    <row r="86" spans="2:4" x14ac:dyDescent="0.2">
      <c r="B86" s="1" t="s">
        <v>508</v>
      </c>
      <c r="C86" s="1">
        <v>0</v>
      </c>
    </row>
    <row r="87" spans="2:4" x14ac:dyDescent="0.2">
      <c r="B87" s="1" t="s">
        <v>1230</v>
      </c>
      <c r="C87" s="1">
        <v>0</v>
      </c>
    </row>
    <row r="88" spans="2:4" x14ac:dyDescent="0.2">
      <c r="B88" s="1" t="s">
        <v>1231</v>
      </c>
      <c r="C88" s="1">
        <v>0</v>
      </c>
    </row>
    <row r="89" spans="2:4" x14ac:dyDescent="0.2">
      <c r="B89" s="1" t="s">
        <v>1232</v>
      </c>
      <c r="C89" s="1">
        <v>0</v>
      </c>
    </row>
    <row r="90" spans="2:4" x14ac:dyDescent="0.2">
      <c r="B90" s="1" t="s">
        <v>1233</v>
      </c>
      <c r="C90" s="1">
        <v>0</v>
      </c>
    </row>
    <row r="91" spans="2:4" x14ac:dyDescent="0.2">
      <c r="B91" s="1" t="s">
        <v>1234</v>
      </c>
      <c r="C91" s="1">
        <v>0</v>
      </c>
    </row>
    <row r="92" spans="2:4" x14ac:dyDescent="0.2">
      <c r="B92" s="1" t="s">
        <v>1235</v>
      </c>
      <c r="C92" s="1">
        <v>0</v>
      </c>
    </row>
    <row r="93" spans="2:4" x14ac:dyDescent="0.2">
      <c r="B93" s="1" t="s">
        <v>1236</v>
      </c>
      <c r="C93" s="1">
        <v>0</v>
      </c>
    </row>
    <row r="94" spans="2:4" x14ac:dyDescent="0.2">
      <c r="B94" s="1" t="s">
        <v>1237</v>
      </c>
      <c r="C94" s="1">
        <v>0</v>
      </c>
    </row>
    <row r="95" spans="2:4" x14ac:dyDescent="0.2">
      <c r="B95" s="1" t="s">
        <v>1238</v>
      </c>
      <c r="C95" s="1">
        <v>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6775B-17C3-4100-BD93-AF0A3ACA61E5}">
  <sheetPr codeName="ShtHitBTC"/>
  <dimension ref="A2:L581"/>
  <sheetViews>
    <sheetView workbookViewId="0">
      <selection activeCell="C6" sqref="C6"/>
    </sheetView>
  </sheetViews>
  <sheetFormatPr defaultRowHeight="11.4" x14ac:dyDescent="0.2"/>
  <cols>
    <col min="1" max="1" width="8.88671875" style="1"/>
    <col min="2" max="2" width="16.88671875" style="1" bestFit="1" customWidth="1"/>
    <col min="3" max="3" width="36.44140625" style="1" bestFit="1" customWidth="1"/>
    <col min="4" max="4" width="10.5546875" style="1" customWidth="1"/>
    <col min="5" max="5" width="10.33203125" style="1" customWidth="1"/>
    <col min="6" max="16384" width="8.88671875" style="1"/>
  </cols>
  <sheetData>
    <row r="2" spans="1:6" s="35" customFormat="1" ht="17.399999999999999" x14ac:dyDescent="0.3">
      <c r="B2" s="18" t="s">
        <v>512</v>
      </c>
    </row>
    <row r="3" spans="1:6" x14ac:dyDescent="0.2">
      <c r="B3" s="16" t="s">
        <v>513</v>
      </c>
    </row>
    <row r="4" spans="1:6" x14ac:dyDescent="0.2">
      <c r="B4" s="1" t="s">
        <v>142</v>
      </c>
    </row>
    <row r="6" spans="1:6" x14ac:dyDescent="0.2">
      <c r="B6" s="4" t="s">
        <v>514</v>
      </c>
      <c r="C6" s="19" t="s">
        <v>1240</v>
      </c>
    </row>
    <row r="7" spans="1:6" x14ac:dyDescent="0.2">
      <c r="B7" s="4" t="s">
        <v>515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516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 t="s">
        <v>443</v>
      </c>
      <c r="E18" s="1" t="s">
        <v>230</v>
      </c>
      <c r="F18" s="32" t="s">
        <v>21</v>
      </c>
    </row>
    <row r="19" spans="1:6" x14ac:dyDescent="0.2">
      <c r="B19" s="31">
        <v>1</v>
      </c>
      <c r="C19" s="1" t="s">
        <v>18</v>
      </c>
      <c r="D19" s="1" t="s">
        <v>517</v>
      </c>
      <c r="E19" s="1" t="s">
        <v>518</v>
      </c>
      <c r="F19" s="32" t="s">
        <v>21</v>
      </c>
    </row>
    <row r="20" spans="1:6" x14ac:dyDescent="0.2">
      <c r="B20" s="31">
        <v>1</v>
      </c>
      <c r="C20" s="1" t="s">
        <v>18</v>
      </c>
      <c r="D20" s="1" t="s">
        <v>389</v>
      </c>
      <c r="E20" s="1" t="b">
        <v>1</v>
      </c>
      <c r="F20" s="32" t="s">
        <v>21</v>
      </c>
    </row>
    <row r="21" spans="1:6" x14ac:dyDescent="0.2">
      <c r="B21" s="31">
        <v>1</v>
      </c>
      <c r="C21" s="1" t="s">
        <v>18</v>
      </c>
      <c r="D21" s="1" t="s">
        <v>519</v>
      </c>
      <c r="E21" s="1" t="b">
        <v>1</v>
      </c>
      <c r="F21" s="32" t="s">
        <v>21</v>
      </c>
    </row>
    <row r="22" spans="1:6" x14ac:dyDescent="0.2">
      <c r="B22" s="31">
        <v>1</v>
      </c>
      <c r="C22" s="1" t="s">
        <v>18</v>
      </c>
      <c r="D22" s="1" t="s">
        <v>520</v>
      </c>
      <c r="E22" s="1" t="b">
        <v>1</v>
      </c>
      <c r="F22" s="32" t="s">
        <v>21</v>
      </c>
    </row>
    <row r="23" spans="1:6" x14ac:dyDescent="0.2">
      <c r="B23" s="31">
        <v>1</v>
      </c>
      <c r="C23" s="1" t="s">
        <v>18</v>
      </c>
      <c r="D23" s="1" t="s">
        <v>521</v>
      </c>
      <c r="E23" s="1">
        <v>2</v>
      </c>
      <c r="F23" s="32" t="s">
        <v>21</v>
      </c>
    </row>
    <row r="24" spans="1:6" x14ac:dyDescent="0.2">
      <c r="B24" s="31">
        <v>1</v>
      </c>
      <c r="C24" s="1" t="s">
        <v>18</v>
      </c>
      <c r="D24" s="1" t="s">
        <v>522</v>
      </c>
      <c r="E24" s="1" t="b">
        <v>1</v>
      </c>
      <c r="F24" s="32" t="s">
        <v>21</v>
      </c>
    </row>
    <row r="25" spans="1:6" x14ac:dyDescent="0.2">
      <c r="B25" s="31">
        <v>1</v>
      </c>
      <c r="C25" s="1" t="s">
        <v>18</v>
      </c>
      <c r="D25" s="1" t="s">
        <v>523</v>
      </c>
      <c r="E25" s="1" t="b">
        <v>1</v>
      </c>
      <c r="F25" s="32" t="s">
        <v>21</v>
      </c>
    </row>
    <row r="26" spans="1:6" x14ac:dyDescent="0.2">
      <c r="B26" s="31">
        <v>1</v>
      </c>
      <c r="C26" s="1" t="s">
        <v>18</v>
      </c>
      <c r="D26" s="1" t="s">
        <v>524</v>
      </c>
      <c r="E26" s="1" t="b">
        <v>1</v>
      </c>
      <c r="F26" s="32" t="s">
        <v>21</v>
      </c>
    </row>
    <row r="27" spans="1:6" x14ac:dyDescent="0.2">
      <c r="B27" s="31">
        <v>1</v>
      </c>
      <c r="C27" s="1" t="s">
        <v>18</v>
      </c>
      <c r="D27" s="1" t="s">
        <v>525</v>
      </c>
      <c r="E27" s="1" t="b">
        <v>0</v>
      </c>
      <c r="F27" s="32" t="s">
        <v>21</v>
      </c>
    </row>
    <row r="28" spans="1:6" ht="12" thickBot="1" x14ac:dyDescent="0.25">
      <c r="B28" s="20">
        <v>1</v>
      </c>
      <c r="C28" s="21" t="s">
        <v>18</v>
      </c>
      <c r="D28" s="21" t="s">
        <v>526</v>
      </c>
      <c r="E28" s="21">
        <v>40.000100000000003</v>
      </c>
      <c r="F28" s="23" t="s">
        <v>21</v>
      </c>
    </row>
    <row r="31" spans="1:6" x14ac:dyDescent="0.2">
      <c r="A31" s="4" t="s">
        <v>144</v>
      </c>
    </row>
    <row r="32" spans="1:6" ht="12" thickBot="1" x14ac:dyDescent="0.25">
      <c r="B32" s="2" t="s">
        <v>23</v>
      </c>
      <c r="C32" s="3"/>
      <c r="D32" s="3"/>
      <c r="E32" s="3"/>
      <c r="F32" s="3"/>
    </row>
    <row r="33" spans="1:12" x14ac:dyDescent="0.2">
      <c r="B33" s="25" t="s">
        <v>443</v>
      </c>
      <c r="C33" s="29" t="s">
        <v>517</v>
      </c>
      <c r="D33" s="29" t="s">
        <v>389</v>
      </c>
      <c r="E33" s="29" t="s">
        <v>519</v>
      </c>
      <c r="F33" s="29" t="s">
        <v>520</v>
      </c>
      <c r="G33" s="29" t="s">
        <v>521</v>
      </c>
      <c r="H33" s="29" t="s">
        <v>522</v>
      </c>
      <c r="I33" s="29" t="s">
        <v>523</v>
      </c>
      <c r="J33" s="29" t="s">
        <v>524</v>
      </c>
      <c r="K33" s="29" t="s">
        <v>525</v>
      </c>
      <c r="L33" s="26" t="s">
        <v>526</v>
      </c>
    </row>
    <row r="34" spans="1:12" ht="12" thickBot="1" x14ac:dyDescent="0.25">
      <c r="B34" s="20" t="s">
        <v>230</v>
      </c>
      <c r="C34" s="21" t="s">
        <v>518</v>
      </c>
      <c r="D34" s="21" t="b">
        <v>1</v>
      </c>
      <c r="E34" s="21" t="b">
        <v>1</v>
      </c>
      <c r="F34" s="21" t="b">
        <v>1</v>
      </c>
      <c r="G34" s="21">
        <v>2</v>
      </c>
      <c r="H34" s="21" t="b">
        <v>1</v>
      </c>
      <c r="I34" s="21" t="b">
        <v>1</v>
      </c>
      <c r="J34" s="21" t="b">
        <v>1</v>
      </c>
      <c r="K34" s="21" t="b">
        <v>0</v>
      </c>
      <c r="L34" s="23">
        <v>40.000100000000003</v>
      </c>
    </row>
    <row r="37" spans="1:12" x14ac:dyDescent="0.2">
      <c r="A37" s="4" t="s">
        <v>145</v>
      </c>
    </row>
    <row r="39" spans="1:12" x14ac:dyDescent="0.2">
      <c r="B39" s="2" t="s">
        <v>311</v>
      </c>
      <c r="C39" s="2"/>
      <c r="D39" s="2"/>
    </row>
    <row r="40" spans="1:12" x14ac:dyDescent="0.2">
      <c r="B40" s="1" t="s">
        <v>1</v>
      </c>
      <c r="C40" s="1" t="s">
        <v>317</v>
      </c>
      <c r="D40" s="1" t="s">
        <v>318</v>
      </c>
      <c r="E40" s="1" t="s">
        <v>527</v>
      </c>
    </row>
    <row r="41" spans="1:12" x14ac:dyDescent="0.2">
      <c r="B41" s="1">
        <v>1</v>
      </c>
      <c r="C41" s="1" t="s">
        <v>528</v>
      </c>
      <c r="D41" s="1">
        <v>0</v>
      </c>
      <c r="E41" s="1">
        <v>0</v>
      </c>
    </row>
    <row r="42" spans="1:12" x14ac:dyDescent="0.2">
      <c r="B42" s="1">
        <v>2</v>
      </c>
      <c r="C42" s="1" t="s">
        <v>529</v>
      </c>
      <c r="D42" s="1">
        <v>0</v>
      </c>
      <c r="E42" s="1">
        <v>0</v>
      </c>
    </row>
    <row r="43" spans="1:12" x14ac:dyDescent="0.2">
      <c r="B43" s="1">
        <v>3</v>
      </c>
      <c r="C43" s="1" t="s">
        <v>530</v>
      </c>
      <c r="D43" s="1">
        <v>0</v>
      </c>
      <c r="E43" s="1">
        <v>0</v>
      </c>
    </row>
    <row r="44" spans="1:12" x14ac:dyDescent="0.2">
      <c r="B44" s="1">
        <v>4</v>
      </c>
      <c r="C44" s="1" t="s">
        <v>531</v>
      </c>
      <c r="D44" s="1">
        <v>0</v>
      </c>
      <c r="E44" s="1">
        <v>0</v>
      </c>
    </row>
    <row r="45" spans="1:12" x14ac:dyDescent="0.2">
      <c r="B45" s="1">
        <v>5</v>
      </c>
      <c r="C45" s="1" t="s">
        <v>532</v>
      </c>
      <c r="D45" s="1">
        <v>0</v>
      </c>
      <c r="E45" s="1">
        <v>0</v>
      </c>
    </row>
    <row r="46" spans="1:12" x14ac:dyDescent="0.2">
      <c r="B46" s="1">
        <v>6</v>
      </c>
      <c r="C46" s="1" t="s">
        <v>533</v>
      </c>
      <c r="D46" s="1">
        <v>0</v>
      </c>
      <c r="E46" s="1">
        <v>0</v>
      </c>
    </row>
    <row r="47" spans="1:12" x14ac:dyDescent="0.2">
      <c r="B47" s="1">
        <v>7</v>
      </c>
      <c r="C47" s="1" t="s">
        <v>534</v>
      </c>
      <c r="D47" s="1">
        <v>0</v>
      </c>
      <c r="E47" s="1">
        <v>0</v>
      </c>
    </row>
    <row r="48" spans="1:12" x14ac:dyDescent="0.2">
      <c r="B48" s="1">
        <v>8</v>
      </c>
      <c r="C48" s="1" t="s">
        <v>535</v>
      </c>
      <c r="D48" s="1">
        <v>0</v>
      </c>
      <c r="E48" s="1">
        <v>0</v>
      </c>
    </row>
    <row r="49" spans="2:5" x14ac:dyDescent="0.2">
      <c r="B49" s="1">
        <v>9</v>
      </c>
      <c r="C49" s="1" t="s">
        <v>228</v>
      </c>
      <c r="D49" s="1">
        <v>0</v>
      </c>
      <c r="E49" s="1">
        <v>0</v>
      </c>
    </row>
    <row r="50" spans="2:5" x14ac:dyDescent="0.2">
      <c r="B50" s="1">
        <v>10</v>
      </c>
      <c r="C50" s="1" t="s">
        <v>536</v>
      </c>
      <c r="D50" s="1">
        <v>0</v>
      </c>
      <c r="E50" s="1">
        <v>0</v>
      </c>
    </row>
    <row r="51" spans="2:5" x14ac:dyDescent="0.2">
      <c r="B51" s="1">
        <v>11</v>
      </c>
      <c r="C51" s="1" t="s">
        <v>185</v>
      </c>
      <c r="D51" s="1">
        <v>0</v>
      </c>
      <c r="E51" s="1">
        <v>0</v>
      </c>
    </row>
    <row r="52" spans="2:5" x14ac:dyDescent="0.2">
      <c r="B52" s="1">
        <v>12</v>
      </c>
      <c r="C52" s="1" t="s">
        <v>254</v>
      </c>
      <c r="D52" s="1">
        <v>0</v>
      </c>
      <c r="E52" s="1">
        <v>0</v>
      </c>
    </row>
    <row r="53" spans="2:5" x14ac:dyDescent="0.2">
      <c r="B53" s="1">
        <v>13</v>
      </c>
      <c r="C53" s="1" t="s">
        <v>537</v>
      </c>
      <c r="D53" s="1">
        <v>0</v>
      </c>
      <c r="E53" s="1">
        <v>0</v>
      </c>
    </row>
    <row r="54" spans="2:5" x14ac:dyDescent="0.2">
      <c r="B54" s="1">
        <v>14</v>
      </c>
      <c r="C54" s="1" t="s">
        <v>238</v>
      </c>
      <c r="D54" s="1">
        <v>0</v>
      </c>
      <c r="E54" s="1">
        <v>0</v>
      </c>
    </row>
    <row r="55" spans="2:5" x14ac:dyDescent="0.2">
      <c r="B55" s="1">
        <v>15</v>
      </c>
      <c r="C55" s="1" t="s">
        <v>538</v>
      </c>
      <c r="D55" s="1">
        <v>0</v>
      </c>
      <c r="E55" s="1">
        <v>0</v>
      </c>
    </row>
    <row r="56" spans="2:5" x14ac:dyDescent="0.2">
      <c r="B56" s="1">
        <v>16</v>
      </c>
      <c r="C56" s="1" t="s">
        <v>215</v>
      </c>
      <c r="D56" s="1">
        <v>0</v>
      </c>
      <c r="E56" s="1">
        <v>0</v>
      </c>
    </row>
    <row r="57" spans="2:5" x14ac:dyDescent="0.2">
      <c r="B57" s="1">
        <v>17</v>
      </c>
      <c r="C57" s="1" t="s">
        <v>539</v>
      </c>
      <c r="D57" s="1">
        <v>0</v>
      </c>
      <c r="E57" s="1">
        <v>0</v>
      </c>
    </row>
    <row r="58" spans="2:5" x14ac:dyDescent="0.2">
      <c r="B58" s="1">
        <v>18</v>
      </c>
      <c r="C58" s="1" t="s">
        <v>540</v>
      </c>
      <c r="D58" s="1">
        <v>0</v>
      </c>
      <c r="E58" s="1">
        <v>0</v>
      </c>
    </row>
    <row r="59" spans="2:5" x14ac:dyDescent="0.2">
      <c r="B59" s="1">
        <v>19</v>
      </c>
      <c r="C59" s="1" t="s">
        <v>541</v>
      </c>
      <c r="D59" s="1">
        <v>0</v>
      </c>
      <c r="E59" s="1">
        <v>0</v>
      </c>
    </row>
    <row r="60" spans="2:5" x14ac:dyDescent="0.2">
      <c r="B60" s="1">
        <v>20</v>
      </c>
      <c r="C60" s="1" t="s">
        <v>246</v>
      </c>
      <c r="D60" s="1">
        <v>0</v>
      </c>
      <c r="E60" s="1">
        <v>0</v>
      </c>
    </row>
    <row r="61" spans="2:5" x14ac:dyDescent="0.2">
      <c r="B61" s="1">
        <v>21</v>
      </c>
      <c r="C61" s="1" t="s">
        <v>542</v>
      </c>
      <c r="D61" s="1">
        <v>0</v>
      </c>
      <c r="E61" s="1">
        <v>0</v>
      </c>
    </row>
    <row r="62" spans="2:5" x14ac:dyDescent="0.2">
      <c r="B62" s="1">
        <v>22</v>
      </c>
      <c r="C62" s="1" t="s">
        <v>285</v>
      </c>
      <c r="D62" s="1">
        <v>0</v>
      </c>
      <c r="E62" s="1">
        <v>0</v>
      </c>
    </row>
    <row r="63" spans="2:5" x14ac:dyDescent="0.2">
      <c r="B63" s="1">
        <v>23</v>
      </c>
      <c r="C63" s="1" t="s">
        <v>216</v>
      </c>
      <c r="D63" s="1">
        <v>0</v>
      </c>
      <c r="E63" s="1">
        <v>0</v>
      </c>
    </row>
    <row r="64" spans="2:5" x14ac:dyDescent="0.2">
      <c r="B64" s="1">
        <v>24</v>
      </c>
      <c r="C64" s="1" t="s">
        <v>543</v>
      </c>
      <c r="D64" s="1">
        <v>0</v>
      </c>
      <c r="E64" s="1">
        <v>0</v>
      </c>
    </row>
    <row r="65" spans="2:5" x14ac:dyDescent="0.2">
      <c r="B65" s="1">
        <v>25</v>
      </c>
      <c r="C65" s="1" t="s">
        <v>544</v>
      </c>
      <c r="D65" s="1">
        <v>0</v>
      </c>
      <c r="E65" s="1">
        <v>0</v>
      </c>
    </row>
    <row r="66" spans="2:5" x14ac:dyDescent="0.2">
      <c r="B66" s="1">
        <v>26</v>
      </c>
      <c r="C66" s="1" t="s">
        <v>545</v>
      </c>
      <c r="D66" s="1">
        <v>0</v>
      </c>
      <c r="E66" s="1">
        <v>0</v>
      </c>
    </row>
    <row r="67" spans="2:5" x14ac:dyDescent="0.2">
      <c r="B67" s="1">
        <v>27</v>
      </c>
      <c r="C67" s="1" t="s">
        <v>546</v>
      </c>
      <c r="D67" s="1">
        <v>0</v>
      </c>
      <c r="E67" s="1">
        <v>0</v>
      </c>
    </row>
    <row r="68" spans="2:5" x14ac:dyDescent="0.2">
      <c r="B68" s="1">
        <v>28</v>
      </c>
      <c r="C68" s="1" t="s">
        <v>547</v>
      </c>
      <c r="D68" s="1">
        <v>0</v>
      </c>
      <c r="E68" s="1">
        <v>0</v>
      </c>
    </row>
    <row r="69" spans="2:5" x14ac:dyDescent="0.2">
      <c r="B69" s="1">
        <v>29</v>
      </c>
      <c r="C69" s="1" t="s">
        <v>548</v>
      </c>
      <c r="D69" s="1">
        <v>0</v>
      </c>
      <c r="E69" s="1">
        <v>0</v>
      </c>
    </row>
    <row r="70" spans="2:5" x14ac:dyDescent="0.2">
      <c r="B70" s="1">
        <v>30</v>
      </c>
      <c r="C70" s="1" t="s">
        <v>549</v>
      </c>
      <c r="D70" s="1">
        <v>0</v>
      </c>
      <c r="E70" s="1">
        <v>0</v>
      </c>
    </row>
    <row r="71" spans="2:5" x14ac:dyDescent="0.2">
      <c r="B71" s="1">
        <v>31</v>
      </c>
      <c r="C71" s="1" t="s">
        <v>550</v>
      </c>
      <c r="D71" s="1">
        <v>0</v>
      </c>
      <c r="E71" s="1">
        <v>0</v>
      </c>
    </row>
    <row r="72" spans="2:5" x14ac:dyDescent="0.2">
      <c r="B72" s="1">
        <v>32</v>
      </c>
      <c r="C72" s="1" t="s">
        <v>551</v>
      </c>
      <c r="D72" s="1">
        <v>0</v>
      </c>
      <c r="E72" s="1">
        <v>0</v>
      </c>
    </row>
    <row r="73" spans="2:5" x14ac:dyDescent="0.2">
      <c r="B73" s="1">
        <v>33</v>
      </c>
      <c r="C73" s="1" t="s">
        <v>552</v>
      </c>
      <c r="D73" s="1">
        <v>0</v>
      </c>
      <c r="E73" s="1">
        <v>0</v>
      </c>
    </row>
    <row r="74" spans="2:5" x14ac:dyDescent="0.2">
      <c r="B74" s="1">
        <v>34</v>
      </c>
      <c r="C74" s="1" t="s">
        <v>553</v>
      </c>
      <c r="D74" s="1">
        <v>0</v>
      </c>
      <c r="E74" s="1">
        <v>0</v>
      </c>
    </row>
    <row r="75" spans="2:5" x14ac:dyDescent="0.2">
      <c r="B75" s="1">
        <v>35</v>
      </c>
      <c r="C75" s="1" t="s">
        <v>554</v>
      </c>
      <c r="D75" s="1">
        <v>0</v>
      </c>
      <c r="E75" s="1">
        <v>0</v>
      </c>
    </row>
    <row r="76" spans="2:5" x14ac:dyDescent="0.2">
      <c r="B76" s="1">
        <v>36</v>
      </c>
      <c r="C76" s="1" t="s">
        <v>555</v>
      </c>
      <c r="D76" s="1">
        <v>0</v>
      </c>
      <c r="E76" s="1">
        <v>0</v>
      </c>
    </row>
    <row r="77" spans="2:5" x14ac:dyDescent="0.2">
      <c r="B77" s="1">
        <v>37</v>
      </c>
      <c r="C77" s="1" t="s">
        <v>556</v>
      </c>
      <c r="D77" s="1">
        <v>0</v>
      </c>
      <c r="E77" s="1">
        <v>0</v>
      </c>
    </row>
    <row r="78" spans="2:5" x14ac:dyDescent="0.2">
      <c r="B78" s="1">
        <v>38</v>
      </c>
      <c r="C78" s="1" t="s">
        <v>557</v>
      </c>
      <c r="D78" s="1">
        <v>0</v>
      </c>
      <c r="E78" s="1">
        <v>0</v>
      </c>
    </row>
    <row r="79" spans="2:5" x14ac:dyDescent="0.2">
      <c r="B79" s="1">
        <v>39</v>
      </c>
      <c r="C79" s="1" t="s">
        <v>558</v>
      </c>
      <c r="D79" s="1">
        <v>0</v>
      </c>
      <c r="E79" s="1">
        <v>0</v>
      </c>
    </row>
    <row r="80" spans="2:5" x14ac:dyDescent="0.2">
      <c r="B80" s="1">
        <v>40</v>
      </c>
      <c r="C80" s="1" t="s">
        <v>192</v>
      </c>
      <c r="D80" s="1">
        <v>0</v>
      </c>
      <c r="E80" s="1">
        <v>0</v>
      </c>
    </row>
    <row r="81" spans="2:5" x14ac:dyDescent="0.2">
      <c r="B81" s="1">
        <v>41</v>
      </c>
      <c r="C81" s="1" t="s">
        <v>559</v>
      </c>
      <c r="D81" s="1">
        <v>0</v>
      </c>
      <c r="E81" s="1">
        <v>0</v>
      </c>
    </row>
    <row r="82" spans="2:5" x14ac:dyDescent="0.2">
      <c r="B82" s="1">
        <v>42</v>
      </c>
      <c r="C82" s="1" t="s">
        <v>153</v>
      </c>
      <c r="D82" s="1">
        <v>0</v>
      </c>
      <c r="E82" s="1">
        <v>0</v>
      </c>
    </row>
    <row r="83" spans="2:5" x14ac:dyDescent="0.2">
      <c r="B83" s="1">
        <v>43</v>
      </c>
      <c r="C83" s="1" t="s">
        <v>373</v>
      </c>
      <c r="D83" s="1">
        <v>0</v>
      </c>
      <c r="E83" s="1">
        <v>0</v>
      </c>
    </row>
    <row r="84" spans="2:5" x14ac:dyDescent="0.2">
      <c r="B84" s="1">
        <v>44</v>
      </c>
      <c r="C84" s="1" t="s">
        <v>226</v>
      </c>
      <c r="D84" s="1">
        <v>0</v>
      </c>
      <c r="E84" s="1">
        <v>0</v>
      </c>
    </row>
    <row r="85" spans="2:5" x14ac:dyDescent="0.2">
      <c r="B85" s="1">
        <v>45</v>
      </c>
      <c r="C85" s="1" t="s">
        <v>299</v>
      </c>
      <c r="D85" s="1">
        <v>0</v>
      </c>
      <c r="E85" s="1">
        <v>0</v>
      </c>
    </row>
    <row r="86" spans="2:5" x14ac:dyDescent="0.2">
      <c r="B86" s="1">
        <v>46</v>
      </c>
      <c r="C86" s="1" t="s">
        <v>300</v>
      </c>
      <c r="D86" s="1">
        <v>0</v>
      </c>
      <c r="E86" s="1">
        <v>0</v>
      </c>
    </row>
    <row r="87" spans="2:5" x14ac:dyDescent="0.2">
      <c r="B87" s="1">
        <v>47</v>
      </c>
      <c r="C87" s="1" t="s">
        <v>560</v>
      </c>
      <c r="D87" s="1">
        <v>0</v>
      </c>
      <c r="E87" s="1">
        <v>0</v>
      </c>
    </row>
    <row r="88" spans="2:5" x14ac:dyDescent="0.2">
      <c r="B88" s="1">
        <v>48</v>
      </c>
      <c r="C88" s="1" t="s">
        <v>271</v>
      </c>
      <c r="D88" s="1">
        <v>0</v>
      </c>
      <c r="E88" s="1">
        <v>0</v>
      </c>
    </row>
    <row r="89" spans="2:5" x14ac:dyDescent="0.2">
      <c r="B89" s="1">
        <v>49</v>
      </c>
      <c r="C89" s="1" t="s">
        <v>217</v>
      </c>
      <c r="D89" s="1">
        <v>0</v>
      </c>
      <c r="E89" s="1">
        <v>0</v>
      </c>
    </row>
    <row r="90" spans="2:5" x14ac:dyDescent="0.2">
      <c r="B90" s="1">
        <v>50</v>
      </c>
      <c r="C90" s="1" t="s">
        <v>561</v>
      </c>
      <c r="D90" s="1">
        <v>0</v>
      </c>
      <c r="E90" s="1">
        <v>0</v>
      </c>
    </row>
    <row r="91" spans="2:5" x14ac:dyDescent="0.2">
      <c r="B91" s="1">
        <v>51</v>
      </c>
      <c r="C91" s="1" t="s">
        <v>562</v>
      </c>
      <c r="D91" s="1">
        <v>0</v>
      </c>
      <c r="E91" s="1">
        <v>0</v>
      </c>
    </row>
    <row r="92" spans="2:5" x14ac:dyDescent="0.2">
      <c r="B92" s="1">
        <v>52</v>
      </c>
      <c r="C92" s="1" t="s">
        <v>563</v>
      </c>
      <c r="D92" s="1">
        <v>0</v>
      </c>
      <c r="E92" s="1">
        <v>0</v>
      </c>
    </row>
    <row r="93" spans="2:5" x14ac:dyDescent="0.2">
      <c r="B93" s="1">
        <v>53</v>
      </c>
      <c r="C93" s="1" t="s">
        <v>564</v>
      </c>
      <c r="D93" s="1">
        <v>0</v>
      </c>
      <c r="E93" s="1">
        <v>0</v>
      </c>
    </row>
    <row r="94" spans="2:5" x14ac:dyDescent="0.2">
      <c r="B94" s="1">
        <v>54</v>
      </c>
      <c r="C94" s="1" t="s">
        <v>565</v>
      </c>
      <c r="D94" s="1">
        <v>0</v>
      </c>
      <c r="E94" s="1">
        <v>0</v>
      </c>
    </row>
    <row r="95" spans="2:5" x14ac:dyDescent="0.2">
      <c r="B95" s="1">
        <v>55</v>
      </c>
      <c r="C95" s="1" t="s">
        <v>566</v>
      </c>
      <c r="D95" s="1">
        <v>0</v>
      </c>
      <c r="E95" s="1">
        <v>0</v>
      </c>
    </row>
    <row r="96" spans="2:5" x14ac:dyDescent="0.2">
      <c r="B96" s="1">
        <v>56</v>
      </c>
      <c r="C96" s="1" t="s">
        <v>567</v>
      </c>
      <c r="D96" s="1">
        <v>0</v>
      </c>
      <c r="E96" s="1">
        <v>0</v>
      </c>
    </row>
    <row r="97" spans="2:5" x14ac:dyDescent="0.2">
      <c r="B97" s="1">
        <v>57</v>
      </c>
      <c r="C97" s="1" t="s">
        <v>568</v>
      </c>
      <c r="D97" s="1">
        <v>0</v>
      </c>
      <c r="E97" s="1">
        <v>0</v>
      </c>
    </row>
    <row r="98" spans="2:5" x14ac:dyDescent="0.2">
      <c r="B98" s="1">
        <v>58</v>
      </c>
      <c r="C98" s="1" t="s">
        <v>569</v>
      </c>
      <c r="D98" s="1">
        <v>0</v>
      </c>
      <c r="E98" s="1">
        <v>0</v>
      </c>
    </row>
    <row r="99" spans="2:5" x14ac:dyDescent="0.2">
      <c r="B99" s="1">
        <v>59</v>
      </c>
      <c r="C99" s="1" t="s">
        <v>570</v>
      </c>
      <c r="D99" s="1">
        <v>0</v>
      </c>
      <c r="E99" s="1">
        <v>0</v>
      </c>
    </row>
    <row r="100" spans="2:5" x14ac:dyDescent="0.2">
      <c r="B100" s="1">
        <v>60</v>
      </c>
      <c r="C100" s="1" t="s">
        <v>571</v>
      </c>
      <c r="D100" s="1">
        <v>0</v>
      </c>
      <c r="E100" s="1">
        <v>0</v>
      </c>
    </row>
    <row r="101" spans="2:5" x14ac:dyDescent="0.2">
      <c r="B101" s="1">
        <v>61</v>
      </c>
      <c r="C101" s="1" t="s">
        <v>572</v>
      </c>
      <c r="D101" s="1">
        <v>0</v>
      </c>
      <c r="E101" s="1">
        <v>0</v>
      </c>
    </row>
    <row r="102" spans="2:5" x14ac:dyDescent="0.2">
      <c r="B102" s="1">
        <v>62</v>
      </c>
      <c r="C102" s="1" t="s">
        <v>573</v>
      </c>
      <c r="D102" s="1">
        <v>0</v>
      </c>
      <c r="E102" s="1">
        <v>0</v>
      </c>
    </row>
    <row r="103" spans="2:5" x14ac:dyDescent="0.2">
      <c r="B103" s="1">
        <v>63</v>
      </c>
      <c r="C103" s="1" t="s">
        <v>574</v>
      </c>
      <c r="D103" s="1">
        <v>0</v>
      </c>
      <c r="E103" s="1">
        <v>0</v>
      </c>
    </row>
    <row r="104" spans="2:5" x14ac:dyDescent="0.2">
      <c r="B104" s="1">
        <v>64</v>
      </c>
      <c r="C104" s="1" t="s">
        <v>148</v>
      </c>
      <c r="D104" s="1">
        <v>0</v>
      </c>
      <c r="E104" s="1">
        <v>0</v>
      </c>
    </row>
    <row r="105" spans="2:5" x14ac:dyDescent="0.2">
      <c r="B105" s="1">
        <v>65</v>
      </c>
      <c r="C105" s="1" t="s">
        <v>575</v>
      </c>
      <c r="D105" s="1">
        <v>0</v>
      </c>
      <c r="E105" s="1">
        <v>0</v>
      </c>
    </row>
    <row r="106" spans="2:5" x14ac:dyDescent="0.2">
      <c r="B106" s="1">
        <v>66</v>
      </c>
      <c r="C106" s="1" t="s">
        <v>152</v>
      </c>
      <c r="D106" s="1">
        <v>0</v>
      </c>
      <c r="E106" s="1">
        <v>0</v>
      </c>
    </row>
    <row r="107" spans="2:5" x14ac:dyDescent="0.2">
      <c r="B107" s="1">
        <v>67</v>
      </c>
      <c r="C107" s="1" t="s">
        <v>576</v>
      </c>
      <c r="D107" s="1">
        <v>0</v>
      </c>
      <c r="E107" s="1">
        <v>0</v>
      </c>
    </row>
    <row r="108" spans="2:5" x14ac:dyDescent="0.2">
      <c r="B108" s="1">
        <v>68</v>
      </c>
      <c r="C108" s="1" t="s">
        <v>577</v>
      </c>
      <c r="D108" s="1">
        <v>0</v>
      </c>
      <c r="E108" s="1">
        <v>0</v>
      </c>
    </row>
    <row r="109" spans="2:5" x14ac:dyDescent="0.2">
      <c r="B109" s="1">
        <v>69</v>
      </c>
      <c r="C109" s="1" t="s">
        <v>578</v>
      </c>
      <c r="D109" s="1">
        <v>0</v>
      </c>
      <c r="E109" s="1">
        <v>0</v>
      </c>
    </row>
    <row r="110" spans="2:5" x14ac:dyDescent="0.2">
      <c r="B110" s="1">
        <v>70</v>
      </c>
      <c r="C110" s="1" t="s">
        <v>168</v>
      </c>
      <c r="D110" s="1">
        <v>0</v>
      </c>
      <c r="E110" s="1">
        <v>0</v>
      </c>
    </row>
    <row r="111" spans="2:5" x14ac:dyDescent="0.2">
      <c r="B111" s="1">
        <v>71</v>
      </c>
      <c r="C111" s="1" t="s">
        <v>240</v>
      </c>
      <c r="D111" s="1">
        <v>0</v>
      </c>
      <c r="E111" s="1">
        <v>0</v>
      </c>
    </row>
    <row r="112" spans="2:5" x14ac:dyDescent="0.2">
      <c r="B112" s="1">
        <v>72</v>
      </c>
      <c r="C112" s="1" t="s">
        <v>579</v>
      </c>
      <c r="D112" s="1">
        <v>0</v>
      </c>
      <c r="E112" s="1">
        <v>0</v>
      </c>
    </row>
    <row r="113" spans="2:5" x14ac:dyDescent="0.2">
      <c r="B113" s="1">
        <v>73</v>
      </c>
      <c r="C113" s="1" t="s">
        <v>38</v>
      </c>
      <c r="D113" s="1">
        <v>0</v>
      </c>
      <c r="E113" s="1">
        <v>0</v>
      </c>
    </row>
    <row r="114" spans="2:5" x14ac:dyDescent="0.2">
      <c r="B114" s="1">
        <v>74</v>
      </c>
      <c r="C114" s="1" t="s">
        <v>580</v>
      </c>
      <c r="D114" s="1">
        <v>0</v>
      </c>
      <c r="E114" s="1">
        <v>0</v>
      </c>
    </row>
    <row r="115" spans="2:5" x14ac:dyDescent="0.2">
      <c r="B115" s="1">
        <v>75</v>
      </c>
      <c r="C115" s="1" t="s">
        <v>581</v>
      </c>
      <c r="D115" s="1">
        <v>0</v>
      </c>
      <c r="E115" s="1">
        <v>0</v>
      </c>
    </row>
    <row r="116" spans="2:5" x14ac:dyDescent="0.2">
      <c r="B116" s="1">
        <v>76</v>
      </c>
      <c r="C116" s="1" t="s">
        <v>195</v>
      </c>
      <c r="D116" s="1">
        <v>0</v>
      </c>
      <c r="E116" s="1">
        <v>0</v>
      </c>
    </row>
    <row r="117" spans="2:5" x14ac:dyDescent="0.2">
      <c r="B117" s="1">
        <v>77</v>
      </c>
      <c r="C117" s="1" t="s">
        <v>582</v>
      </c>
      <c r="D117" s="1">
        <v>0</v>
      </c>
      <c r="E117" s="1">
        <v>0</v>
      </c>
    </row>
    <row r="118" spans="2:5" x14ac:dyDescent="0.2">
      <c r="B118" s="1">
        <v>78</v>
      </c>
      <c r="C118" s="1" t="s">
        <v>221</v>
      </c>
      <c r="D118" s="1">
        <v>0</v>
      </c>
      <c r="E118" s="1">
        <v>0</v>
      </c>
    </row>
    <row r="119" spans="2:5" x14ac:dyDescent="0.2">
      <c r="B119" s="1">
        <v>79</v>
      </c>
      <c r="C119" s="1" t="s">
        <v>302</v>
      </c>
      <c r="D119" s="1">
        <v>0</v>
      </c>
      <c r="E119" s="1">
        <v>0</v>
      </c>
    </row>
    <row r="120" spans="2:5" x14ac:dyDescent="0.2">
      <c r="B120" s="1">
        <v>80</v>
      </c>
      <c r="C120" s="1" t="s">
        <v>583</v>
      </c>
      <c r="D120" s="1">
        <v>0</v>
      </c>
      <c r="E120" s="1">
        <v>0</v>
      </c>
    </row>
    <row r="121" spans="2:5" x14ac:dyDescent="0.2">
      <c r="B121" s="1">
        <v>81</v>
      </c>
      <c r="C121" s="1" t="s">
        <v>584</v>
      </c>
      <c r="D121" s="1">
        <v>0</v>
      </c>
      <c r="E121" s="1">
        <v>0</v>
      </c>
    </row>
    <row r="122" spans="2:5" x14ac:dyDescent="0.2">
      <c r="B122" s="1">
        <v>82</v>
      </c>
      <c r="C122" s="1" t="s">
        <v>585</v>
      </c>
      <c r="D122" s="1">
        <v>0</v>
      </c>
      <c r="E122" s="1">
        <v>0</v>
      </c>
    </row>
    <row r="123" spans="2:5" x14ac:dyDescent="0.2">
      <c r="B123" s="1">
        <v>83</v>
      </c>
      <c r="C123" s="1" t="s">
        <v>586</v>
      </c>
      <c r="D123" s="1">
        <v>0</v>
      </c>
      <c r="E123" s="1">
        <v>0</v>
      </c>
    </row>
    <row r="124" spans="2:5" x14ac:dyDescent="0.2">
      <c r="B124" s="1">
        <v>84</v>
      </c>
      <c r="C124" s="1" t="s">
        <v>587</v>
      </c>
      <c r="D124" s="1">
        <v>0</v>
      </c>
      <c r="E124" s="1">
        <v>0</v>
      </c>
    </row>
    <row r="125" spans="2:5" x14ac:dyDescent="0.2">
      <c r="B125" s="1">
        <v>85</v>
      </c>
      <c r="C125" s="1" t="s">
        <v>588</v>
      </c>
      <c r="D125" s="1">
        <v>0</v>
      </c>
      <c r="E125" s="1">
        <v>0</v>
      </c>
    </row>
    <row r="126" spans="2:5" x14ac:dyDescent="0.2">
      <c r="B126" s="1">
        <v>86</v>
      </c>
      <c r="C126" s="1" t="s">
        <v>589</v>
      </c>
      <c r="D126" s="1">
        <v>0</v>
      </c>
      <c r="E126" s="1">
        <v>0</v>
      </c>
    </row>
    <row r="127" spans="2:5" x14ac:dyDescent="0.2">
      <c r="B127" s="1">
        <v>87</v>
      </c>
      <c r="C127" s="1" t="s">
        <v>590</v>
      </c>
      <c r="D127" s="1">
        <v>0</v>
      </c>
      <c r="E127" s="1">
        <v>0</v>
      </c>
    </row>
    <row r="128" spans="2:5" x14ac:dyDescent="0.2">
      <c r="B128" s="1">
        <v>88</v>
      </c>
      <c r="C128" s="1" t="s">
        <v>591</v>
      </c>
      <c r="D128" s="1">
        <v>0</v>
      </c>
      <c r="E128" s="1">
        <v>0</v>
      </c>
    </row>
    <row r="129" spans="2:5" x14ac:dyDescent="0.2">
      <c r="B129" s="1">
        <v>89</v>
      </c>
      <c r="C129" s="1" t="s">
        <v>592</v>
      </c>
      <c r="D129" s="1">
        <v>0</v>
      </c>
      <c r="E129" s="1">
        <v>0</v>
      </c>
    </row>
    <row r="130" spans="2:5" x14ac:dyDescent="0.2">
      <c r="B130" s="1">
        <v>90</v>
      </c>
      <c r="C130" s="1" t="s">
        <v>593</v>
      </c>
      <c r="D130" s="1">
        <v>0</v>
      </c>
      <c r="E130" s="1">
        <v>0</v>
      </c>
    </row>
    <row r="131" spans="2:5" x14ac:dyDescent="0.2">
      <c r="B131" s="1">
        <v>91</v>
      </c>
      <c r="C131" s="1" t="s">
        <v>171</v>
      </c>
      <c r="D131" s="1">
        <v>0</v>
      </c>
      <c r="E131" s="1">
        <v>0</v>
      </c>
    </row>
    <row r="132" spans="2:5" x14ac:dyDescent="0.2">
      <c r="B132" s="1">
        <v>92</v>
      </c>
      <c r="C132" s="1" t="s">
        <v>594</v>
      </c>
      <c r="D132" s="1">
        <v>0</v>
      </c>
      <c r="E132" s="1">
        <v>0</v>
      </c>
    </row>
    <row r="133" spans="2:5" x14ac:dyDescent="0.2">
      <c r="B133" s="1">
        <v>93</v>
      </c>
      <c r="C133" s="1" t="s">
        <v>595</v>
      </c>
      <c r="D133" s="1">
        <v>0</v>
      </c>
      <c r="E133" s="1">
        <v>0</v>
      </c>
    </row>
    <row r="134" spans="2:5" x14ac:dyDescent="0.2">
      <c r="B134" s="1">
        <v>94</v>
      </c>
      <c r="C134" s="1" t="s">
        <v>596</v>
      </c>
      <c r="D134" s="1">
        <v>0</v>
      </c>
      <c r="E134" s="1">
        <v>0</v>
      </c>
    </row>
    <row r="135" spans="2:5" x14ac:dyDescent="0.2">
      <c r="B135" s="1">
        <v>95</v>
      </c>
      <c r="C135" s="1" t="s">
        <v>597</v>
      </c>
      <c r="D135" s="1">
        <v>0</v>
      </c>
      <c r="E135" s="1">
        <v>0</v>
      </c>
    </row>
    <row r="136" spans="2:5" x14ac:dyDescent="0.2">
      <c r="B136" s="1">
        <v>96</v>
      </c>
      <c r="C136" s="1" t="s">
        <v>598</v>
      </c>
      <c r="D136" s="1">
        <v>0</v>
      </c>
      <c r="E136" s="1">
        <v>0</v>
      </c>
    </row>
    <row r="137" spans="2:5" x14ac:dyDescent="0.2">
      <c r="B137" s="1">
        <v>97</v>
      </c>
      <c r="C137" s="1" t="s">
        <v>247</v>
      </c>
      <c r="D137" s="1">
        <v>0</v>
      </c>
      <c r="E137" s="1">
        <v>0</v>
      </c>
    </row>
    <row r="138" spans="2:5" x14ac:dyDescent="0.2">
      <c r="B138" s="1">
        <v>98</v>
      </c>
      <c r="C138" s="1" t="s">
        <v>599</v>
      </c>
      <c r="D138" s="1">
        <v>0</v>
      </c>
      <c r="E138" s="1">
        <v>0</v>
      </c>
    </row>
    <row r="139" spans="2:5" x14ac:dyDescent="0.2">
      <c r="B139" s="1">
        <v>99</v>
      </c>
      <c r="C139" s="1" t="s">
        <v>600</v>
      </c>
      <c r="D139" s="1">
        <v>0</v>
      </c>
      <c r="E139" s="1">
        <v>0</v>
      </c>
    </row>
    <row r="140" spans="2:5" x14ac:dyDescent="0.2">
      <c r="B140" s="1">
        <v>100</v>
      </c>
      <c r="C140" s="1" t="s">
        <v>601</v>
      </c>
      <c r="D140" s="1">
        <v>0</v>
      </c>
      <c r="E140" s="1">
        <v>0</v>
      </c>
    </row>
    <row r="141" spans="2:5" x14ac:dyDescent="0.2">
      <c r="B141" s="1">
        <v>101</v>
      </c>
      <c r="C141" s="1" t="s">
        <v>602</v>
      </c>
      <c r="D141" s="1">
        <v>0</v>
      </c>
      <c r="E141" s="1">
        <v>0</v>
      </c>
    </row>
    <row r="142" spans="2:5" x14ac:dyDescent="0.2">
      <c r="B142" s="1">
        <v>102</v>
      </c>
      <c r="C142" s="1" t="s">
        <v>603</v>
      </c>
      <c r="D142" s="1">
        <v>0</v>
      </c>
      <c r="E142" s="1">
        <v>0</v>
      </c>
    </row>
    <row r="143" spans="2:5" x14ac:dyDescent="0.2">
      <c r="B143" s="1">
        <v>103</v>
      </c>
      <c r="C143" s="1" t="s">
        <v>604</v>
      </c>
      <c r="D143" s="1">
        <v>0</v>
      </c>
      <c r="E143" s="1">
        <v>0</v>
      </c>
    </row>
    <row r="144" spans="2:5" x14ac:dyDescent="0.2">
      <c r="B144" s="1">
        <v>104</v>
      </c>
      <c r="C144" s="1" t="s">
        <v>605</v>
      </c>
      <c r="D144" s="1">
        <v>0</v>
      </c>
      <c r="E144" s="1">
        <v>0</v>
      </c>
    </row>
    <row r="145" spans="2:5" x14ac:dyDescent="0.2">
      <c r="B145" s="1">
        <v>105</v>
      </c>
      <c r="C145" s="1" t="s">
        <v>606</v>
      </c>
      <c r="D145" s="1">
        <v>0</v>
      </c>
      <c r="E145" s="1">
        <v>0</v>
      </c>
    </row>
    <row r="146" spans="2:5" x14ac:dyDescent="0.2">
      <c r="B146" s="1">
        <v>106</v>
      </c>
      <c r="C146" s="1" t="s">
        <v>607</v>
      </c>
      <c r="D146" s="1">
        <v>0</v>
      </c>
      <c r="E146" s="1">
        <v>0</v>
      </c>
    </row>
    <row r="147" spans="2:5" x14ac:dyDescent="0.2">
      <c r="B147" s="1">
        <v>107</v>
      </c>
      <c r="C147" s="1" t="s">
        <v>608</v>
      </c>
      <c r="D147" s="1">
        <v>0</v>
      </c>
      <c r="E147" s="1">
        <v>0</v>
      </c>
    </row>
    <row r="148" spans="2:5" x14ac:dyDescent="0.2">
      <c r="B148" s="1">
        <v>108</v>
      </c>
      <c r="C148" s="1" t="s">
        <v>231</v>
      </c>
      <c r="D148" s="1">
        <v>0</v>
      </c>
      <c r="E148" s="1">
        <v>0</v>
      </c>
    </row>
    <row r="149" spans="2:5" x14ac:dyDescent="0.2">
      <c r="B149" s="1">
        <v>109</v>
      </c>
      <c r="C149" s="1" t="s">
        <v>218</v>
      </c>
      <c r="D149" s="1">
        <v>0</v>
      </c>
      <c r="E149" s="1">
        <v>0</v>
      </c>
    </row>
    <row r="150" spans="2:5" x14ac:dyDescent="0.2">
      <c r="B150" s="1">
        <v>110</v>
      </c>
      <c r="C150" s="1" t="s">
        <v>609</v>
      </c>
      <c r="D150" s="1">
        <v>0</v>
      </c>
      <c r="E150" s="1">
        <v>0</v>
      </c>
    </row>
    <row r="151" spans="2:5" x14ac:dyDescent="0.2">
      <c r="B151" s="1">
        <v>111</v>
      </c>
      <c r="C151" s="1" t="s">
        <v>610</v>
      </c>
      <c r="D151" s="1">
        <v>0</v>
      </c>
      <c r="E151" s="1">
        <v>0</v>
      </c>
    </row>
    <row r="152" spans="2:5" x14ac:dyDescent="0.2">
      <c r="B152" s="1">
        <v>112</v>
      </c>
      <c r="C152" s="1" t="s">
        <v>611</v>
      </c>
      <c r="D152" s="1">
        <v>0</v>
      </c>
      <c r="E152" s="1">
        <v>0</v>
      </c>
    </row>
    <row r="153" spans="2:5" x14ac:dyDescent="0.2">
      <c r="B153" s="1">
        <v>113</v>
      </c>
      <c r="C153" s="1" t="s">
        <v>612</v>
      </c>
      <c r="D153" s="1">
        <v>0</v>
      </c>
      <c r="E153" s="1">
        <v>0</v>
      </c>
    </row>
    <row r="154" spans="2:5" x14ac:dyDescent="0.2">
      <c r="B154" s="1">
        <v>114</v>
      </c>
      <c r="C154" s="1" t="s">
        <v>613</v>
      </c>
      <c r="D154" s="1">
        <v>0</v>
      </c>
      <c r="E154" s="1">
        <v>0</v>
      </c>
    </row>
    <row r="155" spans="2:5" x14ac:dyDescent="0.2">
      <c r="B155" s="1">
        <v>115</v>
      </c>
      <c r="C155" s="1" t="s">
        <v>614</v>
      </c>
      <c r="D155" s="1">
        <v>0</v>
      </c>
      <c r="E155" s="1">
        <v>0</v>
      </c>
    </row>
    <row r="156" spans="2:5" x14ac:dyDescent="0.2">
      <c r="B156" s="1">
        <v>116</v>
      </c>
      <c r="C156" s="1" t="s">
        <v>615</v>
      </c>
      <c r="D156" s="1">
        <v>0</v>
      </c>
      <c r="E156" s="1">
        <v>0</v>
      </c>
    </row>
    <row r="157" spans="2:5" x14ac:dyDescent="0.2">
      <c r="B157" s="1">
        <v>117</v>
      </c>
      <c r="C157" s="1" t="s">
        <v>616</v>
      </c>
      <c r="D157" s="1">
        <v>0</v>
      </c>
      <c r="E157" s="1">
        <v>0</v>
      </c>
    </row>
    <row r="158" spans="2:5" x14ac:dyDescent="0.2">
      <c r="B158" s="1">
        <v>118</v>
      </c>
      <c r="C158" s="1" t="s">
        <v>617</v>
      </c>
      <c r="D158" s="1">
        <v>0</v>
      </c>
      <c r="E158" s="1">
        <v>0</v>
      </c>
    </row>
    <row r="159" spans="2:5" x14ac:dyDescent="0.2">
      <c r="B159" s="1">
        <v>119</v>
      </c>
      <c r="C159" s="1" t="s">
        <v>618</v>
      </c>
      <c r="D159" s="1">
        <v>0</v>
      </c>
      <c r="E159" s="1">
        <v>0</v>
      </c>
    </row>
    <row r="160" spans="2:5" x14ac:dyDescent="0.2">
      <c r="B160" s="1">
        <v>120</v>
      </c>
      <c r="C160" s="1" t="s">
        <v>619</v>
      </c>
      <c r="D160" s="1">
        <v>0</v>
      </c>
      <c r="E160" s="1">
        <v>0</v>
      </c>
    </row>
    <row r="161" spans="2:5" x14ac:dyDescent="0.2">
      <c r="B161" s="1">
        <v>121</v>
      </c>
      <c r="C161" s="1" t="s">
        <v>620</v>
      </c>
      <c r="D161" s="1">
        <v>0</v>
      </c>
      <c r="E161" s="1">
        <v>0</v>
      </c>
    </row>
    <row r="162" spans="2:5" x14ac:dyDescent="0.2">
      <c r="B162" s="1">
        <v>122</v>
      </c>
      <c r="C162" s="1" t="s">
        <v>621</v>
      </c>
      <c r="D162" s="1">
        <v>0</v>
      </c>
      <c r="E162" s="1">
        <v>0</v>
      </c>
    </row>
    <row r="163" spans="2:5" x14ac:dyDescent="0.2">
      <c r="B163" s="1">
        <v>123</v>
      </c>
      <c r="C163" s="1" t="s">
        <v>622</v>
      </c>
      <c r="D163" s="1">
        <v>0</v>
      </c>
      <c r="E163" s="1">
        <v>0</v>
      </c>
    </row>
    <row r="164" spans="2:5" x14ac:dyDescent="0.2">
      <c r="B164" s="1">
        <v>124</v>
      </c>
      <c r="C164" s="1" t="s">
        <v>623</v>
      </c>
      <c r="D164" s="1">
        <v>0</v>
      </c>
      <c r="E164" s="1">
        <v>0</v>
      </c>
    </row>
    <row r="165" spans="2:5" x14ac:dyDescent="0.2">
      <c r="B165" s="1">
        <v>125</v>
      </c>
      <c r="C165" s="1" t="s">
        <v>624</v>
      </c>
      <c r="D165" s="1">
        <v>0</v>
      </c>
      <c r="E165" s="1">
        <v>0</v>
      </c>
    </row>
    <row r="166" spans="2:5" x14ac:dyDescent="0.2">
      <c r="B166" s="1">
        <v>126</v>
      </c>
      <c r="C166" s="1" t="s">
        <v>176</v>
      </c>
      <c r="D166" s="1">
        <v>0</v>
      </c>
      <c r="E166" s="1">
        <v>0</v>
      </c>
    </row>
    <row r="167" spans="2:5" x14ac:dyDescent="0.2">
      <c r="B167" s="1">
        <v>127</v>
      </c>
      <c r="C167" s="1" t="s">
        <v>625</v>
      </c>
      <c r="D167" s="1">
        <v>0</v>
      </c>
      <c r="E167" s="1">
        <v>0</v>
      </c>
    </row>
    <row r="168" spans="2:5" x14ac:dyDescent="0.2">
      <c r="B168" s="1">
        <v>128</v>
      </c>
      <c r="C168" s="1" t="s">
        <v>626</v>
      </c>
      <c r="D168" s="1">
        <v>0</v>
      </c>
      <c r="E168" s="1">
        <v>0</v>
      </c>
    </row>
    <row r="169" spans="2:5" x14ac:dyDescent="0.2">
      <c r="B169" s="1">
        <v>129</v>
      </c>
      <c r="C169" s="1" t="s">
        <v>627</v>
      </c>
      <c r="D169" s="1">
        <v>0</v>
      </c>
      <c r="E169" s="1">
        <v>0</v>
      </c>
    </row>
    <row r="170" spans="2:5" x14ac:dyDescent="0.2">
      <c r="B170" s="1">
        <v>130</v>
      </c>
      <c r="C170" s="1" t="s">
        <v>628</v>
      </c>
      <c r="D170" s="1">
        <v>0</v>
      </c>
      <c r="E170" s="1">
        <v>0</v>
      </c>
    </row>
    <row r="171" spans="2:5" x14ac:dyDescent="0.2">
      <c r="B171" s="1">
        <v>131</v>
      </c>
      <c r="C171" s="1" t="s">
        <v>629</v>
      </c>
      <c r="D171" s="1">
        <v>0</v>
      </c>
      <c r="E171" s="1">
        <v>0</v>
      </c>
    </row>
    <row r="172" spans="2:5" x14ac:dyDescent="0.2">
      <c r="B172" s="1">
        <v>132</v>
      </c>
      <c r="C172" s="1" t="s">
        <v>630</v>
      </c>
      <c r="D172" s="1">
        <v>0</v>
      </c>
      <c r="E172" s="1">
        <v>0</v>
      </c>
    </row>
    <row r="173" spans="2:5" x14ac:dyDescent="0.2">
      <c r="B173" s="1">
        <v>133</v>
      </c>
      <c r="C173" s="1" t="s">
        <v>631</v>
      </c>
      <c r="D173" s="1">
        <v>0</v>
      </c>
      <c r="E173" s="1">
        <v>0</v>
      </c>
    </row>
    <row r="174" spans="2:5" x14ac:dyDescent="0.2">
      <c r="B174" s="1">
        <v>134</v>
      </c>
      <c r="C174" s="1" t="s">
        <v>193</v>
      </c>
      <c r="D174" s="1">
        <v>0</v>
      </c>
      <c r="E174" s="1">
        <v>0</v>
      </c>
    </row>
    <row r="175" spans="2:5" x14ac:dyDescent="0.2">
      <c r="B175" s="1">
        <v>135</v>
      </c>
      <c r="C175" s="1" t="s">
        <v>209</v>
      </c>
      <c r="D175" s="1">
        <v>0</v>
      </c>
      <c r="E175" s="1">
        <v>0</v>
      </c>
    </row>
    <row r="176" spans="2:5" x14ac:dyDescent="0.2">
      <c r="B176" s="1">
        <v>136</v>
      </c>
      <c r="C176" s="1" t="s">
        <v>632</v>
      </c>
      <c r="D176" s="1">
        <v>0</v>
      </c>
      <c r="E176" s="1">
        <v>0</v>
      </c>
    </row>
    <row r="177" spans="2:5" x14ac:dyDescent="0.2">
      <c r="B177" s="1">
        <v>137</v>
      </c>
      <c r="C177" s="1" t="s">
        <v>633</v>
      </c>
      <c r="D177" s="1">
        <v>0</v>
      </c>
      <c r="E177" s="1">
        <v>0</v>
      </c>
    </row>
    <row r="178" spans="2:5" x14ac:dyDescent="0.2">
      <c r="B178" s="1">
        <v>138</v>
      </c>
      <c r="C178" s="1" t="s">
        <v>634</v>
      </c>
      <c r="D178" s="1">
        <v>0</v>
      </c>
      <c r="E178" s="1">
        <v>0</v>
      </c>
    </row>
    <row r="179" spans="2:5" x14ac:dyDescent="0.2">
      <c r="B179" s="1">
        <v>139</v>
      </c>
      <c r="C179" s="1" t="s">
        <v>635</v>
      </c>
      <c r="D179" s="1">
        <v>0</v>
      </c>
      <c r="E179" s="1">
        <v>0</v>
      </c>
    </row>
    <row r="180" spans="2:5" x14ac:dyDescent="0.2">
      <c r="B180" s="1">
        <v>140</v>
      </c>
      <c r="C180" s="1" t="s">
        <v>636</v>
      </c>
      <c r="D180" s="1">
        <v>0</v>
      </c>
      <c r="E180" s="1">
        <v>0</v>
      </c>
    </row>
    <row r="181" spans="2:5" x14ac:dyDescent="0.2">
      <c r="B181" s="1">
        <v>141</v>
      </c>
      <c r="C181" s="1" t="s">
        <v>637</v>
      </c>
      <c r="D181" s="1">
        <v>0</v>
      </c>
      <c r="E181" s="1">
        <v>0</v>
      </c>
    </row>
    <row r="182" spans="2:5" x14ac:dyDescent="0.2">
      <c r="B182" s="1">
        <v>142</v>
      </c>
      <c r="C182" s="1" t="s">
        <v>638</v>
      </c>
      <c r="D182" s="1">
        <v>0</v>
      </c>
      <c r="E182" s="1">
        <v>0</v>
      </c>
    </row>
    <row r="183" spans="2:5" x14ac:dyDescent="0.2">
      <c r="B183" s="1">
        <v>143</v>
      </c>
      <c r="C183" s="1" t="s">
        <v>639</v>
      </c>
      <c r="D183" s="1">
        <v>0</v>
      </c>
      <c r="E183" s="1">
        <v>0</v>
      </c>
    </row>
    <row r="184" spans="2:5" x14ac:dyDescent="0.2">
      <c r="B184" s="1">
        <v>144</v>
      </c>
      <c r="C184" s="1" t="s">
        <v>640</v>
      </c>
      <c r="D184" s="1">
        <v>0</v>
      </c>
      <c r="E184" s="1">
        <v>0</v>
      </c>
    </row>
    <row r="185" spans="2:5" x14ac:dyDescent="0.2">
      <c r="B185" s="1">
        <v>145</v>
      </c>
      <c r="C185" s="1" t="s">
        <v>641</v>
      </c>
      <c r="D185" s="1">
        <v>0</v>
      </c>
      <c r="E185" s="1">
        <v>0</v>
      </c>
    </row>
    <row r="186" spans="2:5" x14ac:dyDescent="0.2">
      <c r="B186" s="1">
        <v>146</v>
      </c>
      <c r="C186" s="1" t="s">
        <v>210</v>
      </c>
      <c r="D186" s="1">
        <v>0</v>
      </c>
      <c r="E186" s="1">
        <v>0</v>
      </c>
    </row>
    <row r="187" spans="2:5" x14ac:dyDescent="0.2">
      <c r="B187" s="1">
        <v>147</v>
      </c>
      <c r="C187" s="1" t="s">
        <v>284</v>
      </c>
      <c r="D187" s="1">
        <v>0</v>
      </c>
      <c r="E187" s="1">
        <v>0</v>
      </c>
    </row>
    <row r="188" spans="2:5" x14ac:dyDescent="0.2">
      <c r="B188" s="1">
        <v>148</v>
      </c>
      <c r="C188" s="1" t="s">
        <v>642</v>
      </c>
      <c r="D188" s="1">
        <v>0</v>
      </c>
      <c r="E188" s="1">
        <v>0</v>
      </c>
    </row>
    <row r="189" spans="2:5" x14ac:dyDescent="0.2">
      <c r="B189" s="1">
        <v>149</v>
      </c>
      <c r="C189" s="1" t="s">
        <v>191</v>
      </c>
      <c r="D189" s="1">
        <v>0</v>
      </c>
      <c r="E189" s="1">
        <v>0</v>
      </c>
    </row>
    <row r="190" spans="2:5" x14ac:dyDescent="0.2">
      <c r="B190" s="1">
        <v>150</v>
      </c>
      <c r="C190" s="1" t="s">
        <v>643</v>
      </c>
      <c r="D190" s="1">
        <v>0</v>
      </c>
      <c r="E190" s="1">
        <v>0</v>
      </c>
    </row>
    <row r="191" spans="2:5" x14ac:dyDescent="0.2">
      <c r="B191" s="1">
        <v>151</v>
      </c>
      <c r="C191" s="1" t="s">
        <v>644</v>
      </c>
      <c r="D191" s="1">
        <v>0</v>
      </c>
      <c r="E191" s="1">
        <v>0</v>
      </c>
    </row>
    <row r="192" spans="2:5" x14ac:dyDescent="0.2">
      <c r="B192" s="1">
        <v>152</v>
      </c>
      <c r="C192" s="1" t="s">
        <v>645</v>
      </c>
      <c r="D192" s="1">
        <v>0</v>
      </c>
      <c r="E192" s="1">
        <v>0</v>
      </c>
    </row>
    <row r="193" spans="2:5" x14ac:dyDescent="0.2">
      <c r="B193" s="1">
        <v>153</v>
      </c>
      <c r="C193" s="1" t="s">
        <v>646</v>
      </c>
      <c r="D193" s="1">
        <v>0</v>
      </c>
      <c r="E193" s="1">
        <v>0</v>
      </c>
    </row>
    <row r="194" spans="2:5" x14ac:dyDescent="0.2">
      <c r="B194" s="1">
        <v>154</v>
      </c>
      <c r="C194" s="1" t="s">
        <v>157</v>
      </c>
      <c r="D194" s="1">
        <v>0</v>
      </c>
      <c r="E194" s="1">
        <v>0</v>
      </c>
    </row>
    <row r="195" spans="2:5" x14ac:dyDescent="0.2">
      <c r="B195" s="1">
        <v>155</v>
      </c>
      <c r="C195" s="1" t="s">
        <v>647</v>
      </c>
      <c r="D195" s="1">
        <v>50</v>
      </c>
      <c r="E195" s="1">
        <v>0</v>
      </c>
    </row>
    <row r="196" spans="2:5" x14ac:dyDescent="0.2">
      <c r="B196" s="1">
        <v>156</v>
      </c>
      <c r="C196" s="1" t="s">
        <v>648</v>
      </c>
      <c r="D196" s="1">
        <v>0</v>
      </c>
      <c r="E196" s="1">
        <v>0</v>
      </c>
    </row>
    <row r="197" spans="2:5" x14ac:dyDescent="0.2">
      <c r="B197" s="1">
        <v>157</v>
      </c>
      <c r="C197" s="1" t="s">
        <v>649</v>
      </c>
      <c r="D197" s="1">
        <v>0</v>
      </c>
      <c r="E197" s="1">
        <v>0</v>
      </c>
    </row>
    <row r="198" spans="2:5" x14ac:dyDescent="0.2">
      <c r="B198" s="1">
        <v>158</v>
      </c>
      <c r="C198" s="1" t="s">
        <v>650</v>
      </c>
      <c r="D198" s="1">
        <v>0</v>
      </c>
      <c r="E198" s="1">
        <v>0</v>
      </c>
    </row>
    <row r="199" spans="2:5" x14ac:dyDescent="0.2">
      <c r="B199" s="1">
        <v>159</v>
      </c>
      <c r="C199" s="1" t="s">
        <v>651</v>
      </c>
      <c r="D199" s="1">
        <v>0</v>
      </c>
      <c r="E199" s="1">
        <v>0</v>
      </c>
    </row>
    <row r="200" spans="2:5" x14ac:dyDescent="0.2">
      <c r="B200" s="1">
        <v>160</v>
      </c>
      <c r="C200" s="1" t="s">
        <v>652</v>
      </c>
      <c r="D200" s="1">
        <v>0</v>
      </c>
      <c r="E200" s="1">
        <v>0</v>
      </c>
    </row>
    <row r="201" spans="2:5" x14ac:dyDescent="0.2">
      <c r="B201" s="1">
        <v>161</v>
      </c>
      <c r="C201" s="1" t="s">
        <v>653</v>
      </c>
      <c r="D201" s="1">
        <v>0</v>
      </c>
      <c r="E201" s="1">
        <v>0</v>
      </c>
    </row>
    <row r="202" spans="2:5" x14ac:dyDescent="0.2">
      <c r="B202" s="1">
        <v>162</v>
      </c>
      <c r="C202" s="1" t="s">
        <v>654</v>
      </c>
      <c r="D202" s="1">
        <v>0</v>
      </c>
      <c r="E202" s="1">
        <v>0</v>
      </c>
    </row>
    <row r="203" spans="2:5" x14ac:dyDescent="0.2">
      <c r="B203" s="1">
        <v>163</v>
      </c>
      <c r="C203" s="1" t="s">
        <v>655</v>
      </c>
      <c r="D203" s="1">
        <v>0</v>
      </c>
      <c r="E203" s="1">
        <v>0</v>
      </c>
    </row>
    <row r="204" spans="2:5" x14ac:dyDescent="0.2">
      <c r="B204" s="1">
        <v>164</v>
      </c>
      <c r="C204" s="1" t="s">
        <v>656</v>
      </c>
      <c r="D204" s="1">
        <v>0</v>
      </c>
      <c r="E204" s="1">
        <v>0</v>
      </c>
    </row>
    <row r="205" spans="2:5" x14ac:dyDescent="0.2">
      <c r="B205" s="1">
        <v>165</v>
      </c>
      <c r="C205" s="1" t="s">
        <v>657</v>
      </c>
      <c r="D205" s="1">
        <v>0</v>
      </c>
      <c r="E205" s="1">
        <v>0</v>
      </c>
    </row>
    <row r="206" spans="2:5" x14ac:dyDescent="0.2">
      <c r="B206" s="1">
        <v>166</v>
      </c>
      <c r="C206" s="1" t="s">
        <v>658</v>
      </c>
      <c r="D206" s="1">
        <v>0</v>
      </c>
      <c r="E206" s="1">
        <v>0</v>
      </c>
    </row>
    <row r="207" spans="2:5" x14ac:dyDescent="0.2">
      <c r="B207" s="1">
        <v>167</v>
      </c>
      <c r="C207" s="1" t="s">
        <v>659</v>
      </c>
      <c r="D207" s="1">
        <v>0</v>
      </c>
      <c r="E207" s="1">
        <v>0</v>
      </c>
    </row>
    <row r="208" spans="2:5" x14ac:dyDescent="0.2">
      <c r="B208" s="1">
        <v>168</v>
      </c>
      <c r="C208" s="1" t="s">
        <v>660</v>
      </c>
      <c r="D208" s="1">
        <v>0</v>
      </c>
      <c r="E208" s="1">
        <v>0</v>
      </c>
    </row>
    <row r="209" spans="2:5" x14ac:dyDescent="0.2">
      <c r="B209" s="1">
        <v>169</v>
      </c>
      <c r="C209" s="1" t="s">
        <v>187</v>
      </c>
      <c r="D209" s="1">
        <v>0</v>
      </c>
      <c r="E209" s="1">
        <v>0</v>
      </c>
    </row>
    <row r="210" spans="2:5" x14ac:dyDescent="0.2">
      <c r="B210" s="1">
        <v>170</v>
      </c>
      <c r="C210" s="1" t="s">
        <v>661</v>
      </c>
      <c r="D210" s="1">
        <v>0</v>
      </c>
      <c r="E210" s="1">
        <v>0</v>
      </c>
    </row>
    <row r="211" spans="2:5" x14ac:dyDescent="0.2">
      <c r="B211" s="1">
        <v>171</v>
      </c>
      <c r="C211" s="1" t="s">
        <v>662</v>
      </c>
      <c r="D211" s="1">
        <v>0</v>
      </c>
      <c r="E211" s="1">
        <v>0</v>
      </c>
    </row>
    <row r="212" spans="2:5" x14ac:dyDescent="0.2">
      <c r="B212" s="1">
        <v>172</v>
      </c>
      <c r="C212" s="1" t="s">
        <v>663</v>
      </c>
      <c r="D212" s="1">
        <v>0</v>
      </c>
      <c r="E212" s="1">
        <v>0</v>
      </c>
    </row>
    <row r="213" spans="2:5" x14ac:dyDescent="0.2">
      <c r="B213" s="1">
        <v>173</v>
      </c>
      <c r="C213" s="1" t="s">
        <v>208</v>
      </c>
      <c r="D213" s="1">
        <v>0</v>
      </c>
      <c r="E213" s="1">
        <v>0</v>
      </c>
    </row>
    <row r="214" spans="2:5" x14ac:dyDescent="0.2">
      <c r="B214" s="1">
        <v>174</v>
      </c>
      <c r="C214" s="1" t="s">
        <v>664</v>
      </c>
      <c r="D214" s="1">
        <v>0</v>
      </c>
      <c r="E214" s="1">
        <v>0</v>
      </c>
    </row>
    <row r="215" spans="2:5" x14ac:dyDescent="0.2">
      <c r="B215" s="1">
        <v>175</v>
      </c>
      <c r="C215" s="1" t="s">
        <v>665</v>
      </c>
      <c r="D215" s="1">
        <v>0</v>
      </c>
      <c r="E215" s="1">
        <v>0</v>
      </c>
    </row>
    <row r="216" spans="2:5" x14ac:dyDescent="0.2">
      <c r="B216" s="1">
        <v>176</v>
      </c>
      <c r="C216" s="1" t="s">
        <v>666</v>
      </c>
      <c r="D216" s="1">
        <v>0</v>
      </c>
      <c r="E216" s="1">
        <v>0</v>
      </c>
    </row>
    <row r="217" spans="2:5" x14ac:dyDescent="0.2">
      <c r="B217" s="1">
        <v>177</v>
      </c>
      <c r="C217" s="1" t="s">
        <v>667</v>
      </c>
      <c r="D217" s="1">
        <v>0</v>
      </c>
      <c r="E217" s="1">
        <v>0</v>
      </c>
    </row>
    <row r="218" spans="2:5" x14ac:dyDescent="0.2">
      <c r="B218" s="1">
        <v>178</v>
      </c>
      <c r="C218" s="1" t="s">
        <v>668</v>
      </c>
      <c r="D218" s="1">
        <v>0</v>
      </c>
      <c r="E218" s="1">
        <v>0</v>
      </c>
    </row>
    <row r="219" spans="2:5" x14ac:dyDescent="0.2">
      <c r="B219" s="1">
        <v>179</v>
      </c>
      <c r="C219" s="1" t="s">
        <v>237</v>
      </c>
      <c r="D219" s="1">
        <v>0</v>
      </c>
      <c r="E219" s="1">
        <v>0</v>
      </c>
    </row>
    <row r="220" spans="2:5" x14ac:dyDescent="0.2">
      <c r="B220" s="1">
        <v>180</v>
      </c>
      <c r="C220" s="1" t="s">
        <v>669</v>
      </c>
      <c r="D220" s="1">
        <v>0</v>
      </c>
      <c r="E220" s="1">
        <v>0</v>
      </c>
    </row>
    <row r="221" spans="2:5" x14ac:dyDescent="0.2">
      <c r="B221" s="1">
        <v>181</v>
      </c>
      <c r="C221" s="1" t="s">
        <v>670</v>
      </c>
      <c r="D221" s="1">
        <v>0</v>
      </c>
      <c r="E221" s="1">
        <v>0</v>
      </c>
    </row>
    <row r="222" spans="2:5" x14ac:dyDescent="0.2">
      <c r="B222" s="1">
        <v>182</v>
      </c>
      <c r="C222" s="1" t="s">
        <v>671</v>
      </c>
      <c r="D222" s="1">
        <v>0</v>
      </c>
      <c r="E222" s="1">
        <v>0</v>
      </c>
    </row>
    <row r="223" spans="2:5" x14ac:dyDescent="0.2">
      <c r="B223" s="1">
        <v>183</v>
      </c>
      <c r="C223" s="1" t="s">
        <v>672</v>
      </c>
      <c r="D223" s="1">
        <v>0</v>
      </c>
      <c r="E223" s="1">
        <v>0</v>
      </c>
    </row>
    <row r="224" spans="2:5" x14ac:dyDescent="0.2">
      <c r="B224" s="1">
        <v>184</v>
      </c>
      <c r="C224" s="1" t="s">
        <v>200</v>
      </c>
      <c r="D224" s="1">
        <v>0</v>
      </c>
      <c r="E224" s="1">
        <v>0</v>
      </c>
    </row>
    <row r="225" spans="2:5" x14ac:dyDescent="0.2">
      <c r="B225" s="1">
        <v>185</v>
      </c>
      <c r="C225" s="1" t="s">
        <v>150</v>
      </c>
      <c r="D225" s="1">
        <v>0</v>
      </c>
      <c r="E225" s="1">
        <v>0</v>
      </c>
    </row>
    <row r="226" spans="2:5" x14ac:dyDescent="0.2">
      <c r="B226" s="1">
        <v>186</v>
      </c>
      <c r="C226" s="1" t="s">
        <v>673</v>
      </c>
      <c r="D226" s="1">
        <v>0</v>
      </c>
      <c r="E226" s="1">
        <v>0</v>
      </c>
    </row>
    <row r="227" spans="2:5" x14ac:dyDescent="0.2">
      <c r="B227" s="1">
        <v>187</v>
      </c>
      <c r="C227" s="1" t="s">
        <v>674</v>
      </c>
      <c r="D227" s="1">
        <v>0</v>
      </c>
      <c r="E227" s="1">
        <v>0</v>
      </c>
    </row>
    <row r="228" spans="2:5" x14ac:dyDescent="0.2">
      <c r="B228" s="1">
        <v>188</v>
      </c>
      <c r="C228" s="1" t="s">
        <v>675</v>
      </c>
      <c r="D228" s="1">
        <v>0</v>
      </c>
      <c r="E228" s="1">
        <v>0</v>
      </c>
    </row>
    <row r="229" spans="2:5" x14ac:dyDescent="0.2">
      <c r="B229" s="1">
        <v>189</v>
      </c>
      <c r="C229" s="1" t="s">
        <v>186</v>
      </c>
      <c r="D229" s="1">
        <v>0</v>
      </c>
      <c r="E229" s="1">
        <v>0</v>
      </c>
    </row>
    <row r="230" spans="2:5" x14ac:dyDescent="0.2">
      <c r="B230" s="1">
        <v>190</v>
      </c>
      <c r="C230" s="1" t="s">
        <v>56</v>
      </c>
      <c r="D230" s="1">
        <v>0</v>
      </c>
      <c r="E230" s="1">
        <v>0</v>
      </c>
    </row>
    <row r="231" spans="2:5" x14ac:dyDescent="0.2">
      <c r="B231" s="1">
        <v>191</v>
      </c>
      <c r="C231" s="1" t="s">
        <v>676</v>
      </c>
      <c r="D231" s="1">
        <v>0</v>
      </c>
      <c r="E231" s="1">
        <v>0</v>
      </c>
    </row>
    <row r="232" spans="2:5" x14ac:dyDescent="0.2">
      <c r="B232" s="1">
        <v>192</v>
      </c>
      <c r="C232" s="1" t="s">
        <v>677</v>
      </c>
      <c r="D232" s="1">
        <v>0</v>
      </c>
      <c r="E232" s="1">
        <v>0</v>
      </c>
    </row>
    <row r="233" spans="2:5" x14ac:dyDescent="0.2">
      <c r="B233" s="1">
        <v>193</v>
      </c>
      <c r="C233" s="1" t="s">
        <v>678</v>
      </c>
      <c r="D233" s="1">
        <v>0</v>
      </c>
      <c r="E233" s="1">
        <v>0</v>
      </c>
    </row>
    <row r="234" spans="2:5" x14ac:dyDescent="0.2">
      <c r="B234" s="1">
        <v>194</v>
      </c>
      <c r="C234" s="1" t="s">
        <v>679</v>
      </c>
      <c r="D234" s="1">
        <v>0</v>
      </c>
      <c r="E234" s="1">
        <v>0</v>
      </c>
    </row>
    <row r="235" spans="2:5" x14ac:dyDescent="0.2">
      <c r="B235" s="1">
        <v>195</v>
      </c>
      <c r="C235" s="1" t="s">
        <v>198</v>
      </c>
      <c r="D235" s="1">
        <v>0</v>
      </c>
      <c r="E235" s="1">
        <v>0</v>
      </c>
    </row>
    <row r="236" spans="2:5" x14ac:dyDescent="0.2">
      <c r="B236" s="1">
        <v>196</v>
      </c>
      <c r="C236" s="1" t="s">
        <v>680</v>
      </c>
      <c r="D236" s="1">
        <v>0</v>
      </c>
      <c r="E236" s="1">
        <v>0</v>
      </c>
    </row>
    <row r="237" spans="2:5" x14ac:dyDescent="0.2">
      <c r="B237" s="1">
        <v>197</v>
      </c>
      <c r="C237" s="1" t="s">
        <v>681</v>
      </c>
      <c r="D237" s="1">
        <v>0</v>
      </c>
      <c r="E237" s="1">
        <v>0</v>
      </c>
    </row>
    <row r="238" spans="2:5" x14ac:dyDescent="0.2">
      <c r="B238" s="1">
        <v>198</v>
      </c>
      <c r="C238" s="1" t="s">
        <v>682</v>
      </c>
      <c r="D238" s="1">
        <v>0</v>
      </c>
      <c r="E238" s="1">
        <v>0</v>
      </c>
    </row>
    <row r="239" spans="2:5" x14ac:dyDescent="0.2">
      <c r="B239" s="1">
        <v>199</v>
      </c>
      <c r="C239" s="1" t="s">
        <v>683</v>
      </c>
      <c r="D239" s="1">
        <v>0</v>
      </c>
      <c r="E239" s="1">
        <v>0</v>
      </c>
    </row>
    <row r="240" spans="2:5" x14ac:dyDescent="0.2">
      <c r="B240" s="1">
        <v>200</v>
      </c>
      <c r="C240" s="1" t="s">
        <v>304</v>
      </c>
      <c r="D240" s="1">
        <v>0</v>
      </c>
      <c r="E240" s="1">
        <v>0</v>
      </c>
    </row>
    <row r="241" spans="2:5" x14ac:dyDescent="0.2">
      <c r="B241" s="1">
        <v>201</v>
      </c>
      <c r="C241" s="1" t="s">
        <v>684</v>
      </c>
      <c r="D241" s="1">
        <v>0</v>
      </c>
      <c r="E241" s="1">
        <v>0</v>
      </c>
    </row>
    <row r="242" spans="2:5" x14ac:dyDescent="0.2">
      <c r="B242" s="1">
        <v>202</v>
      </c>
      <c r="C242" s="1" t="s">
        <v>685</v>
      </c>
      <c r="D242" s="1">
        <v>0</v>
      </c>
      <c r="E242" s="1">
        <v>0</v>
      </c>
    </row>
    <row r="243" spans="2:5" x14ac:dyDescent="0.2">
      <c r="B243" s="1">
        <v>203</v>
      </c>
      <c r="C243" s="1" t="s">
        <v>686</v>
      </c>
      <c r="D243" s="1">
        <v>0</v>
      </c>
      <c r="E243" s="1">
        <v>0</v>
      </c>
    </row>
    <row r="244" spans="2:5" x14ac:dyDescent="0.2">
      <c r="B244" s="1">
        <v>204</v>
      </c>
      <c r="C244" s="1" t="s">
        <v>687</v>
      </c>
      <c r="D244" s="1">
        <v>0</v>
      </c>
      <c r="E244" s="1">
        <v>0</v>
      </c>
    </row>
    <row r="245" spans="2:5" x14ac:dyDescent="0.2">
      <c r="B245" s="1">
        <v>205</v>
      </c>
      <c r="C245" s="1" t="s">
        <v>688</v>
      </c>
      <c r="D245" s="1">
        <v>0</v>
      </c>
      <c r="E245" s="1">
        <v>0</v>
      </c>
    </row>
    <row r="246" spans="2:5" x14ac:dyDescent="0.2">
      <c r="B246" s="1">
        <v>206</v>
      </c>
      <c r="C246" s="1" t="s">
        <v>222</v>
      </c>
      <c r="D246" s="1">
        <v>0</v>
      </c>
      <c r="E246" s="1">
        <v>0</v>
      </c>
    </row>
    <row r="247" spans="2:5" x14ac:dyDescent="0.2">
      <c r="B247" s="1">
        <v>207</v>
      </c>
      <c r="C247" s="1" t="s">
        <v>169</v>
      </c>
      <c r="D247" s="1">
        <v>0</v>
      </c>
      <c r="E247" s="1">
        <v>0</v>
      </c>
    </row>
    <row r="248" spans="2:5" x14ac:dyDescent="0.2">
      <c r="B248" s="1">
        <v>208</v>
      </c>
      <c r="C248" s="1" t="s">
        <v>689</v>
      </c>
      <c r="D248" s="1">
        <v>0</v>
      </c>
      <c r="E248" s="1">
        <v>0</v>
      </c>
    </row>
    <row r="249" spans="2:5" x14ac:dyDescent="0.2">
      <c r="B249" s="1">
        <v>209</v>
      </c>
      <c r="C249" s="1" t="s">
        <v>690</v>
      </c>
      <c r="D249" s="1">
        <v>0</v>
      </c>
      <c r="E249" s="1">
        <v>0</v>
      </c>
    </row>
    <row r="250" spans="2:5" x14ac:dyDescent="0.2">
      <c r="B250" s="1">
        <v>210</v>
      </c>
      <c r="C250" s="1" t="s">
        <v>691</v>
      </c>
      <c r="D250" s="1">
        <v>0</v>
      </c>
      <c r="E250" s="1">
        <v>0</v>
      </c>
    </row>
    <row r="251" spans="2:5" x14ac:dyDescent="0.2">
      <c r="B251" s="1">
        <v>211</v>
      </c>
      <c r="C251" s="1" t="s">
        <v>692</v>
      </c>
      <c r="D251" s="1">
        <v>0</v>
      </c>
      <c r="E251" s="1">
        <v>0</v>
      </c>
    </row>
    <row r="252" spans="2:5" x14ac:dyDescent="0.2">
      <c r="B252" s="1">
        <v>212</v>
      </c>
      <c r="C252" s="1" t="s">
        <v>109</v>
      </c>
      <c r="D252" s="1">
        <v>0</v>
      </c>
      <c r="E252" s="1">
        <v>0</v>
      </c>
    </row>
    <row r="253" spans="2:5" x14ac:dyDescent="0.2">
      <c r="B253" s="1">
        <v>213</v>
      </c>
      <c r="C253" s="1" t="s">
        <v>693</v>
      </c>
      <c r="D253" s="1">
        <v>0</v>
      </c>
      <c r="E253" s="1">
        <v>0</v>
      </c>
    </row>
    <row r="254" spans="2:5" x14ac:dyDescent="0.2">
      <c r="B254" s="1">
        <v>214</v>
      </c>
      <c r="C254" s="1" t="s">
        <v>694</v>
      </c>
      <c r="D254" s="1">
        <v>0</v>
      </c>
      <c r="E254" s="1">
        <v>0</v>
      </c>
    </row>
    <row r="255" spans="2:5" x14ac:dyDescent="0.2">
      <c r="B255" s="1">
        <v>215</v>
      </c>
      <c r="C255" s="1" t="s">
        <v>695</v>
      </c>
      <c r="D255" s="1">
        <v>0</v>
      </c>
      <c r="E255" s="1">
        <v>0</v>
      </c>
    </row>
    <row r="256" spans="2:5" x14ac:dyDescent="0.2">
      <c r="B256" s="1">
        <v>216</v>
      </c>
      <c r="C256" s="1" t="s">
        <v>190</v>
      </c>
      <c r="D256" s="1">
        <v>0</v>
      </c>
      <c r="E256" s="1">
        <v>0</v>
      </c>
    </row>
    <row r="257" spans="2:5" x14ac:dyDescent="0.2">
      <c r="B257" s="1">
        <v>217</v>
      </c>
      <c r="C257" s="1" t="s">
        <v>696</v>
      </c>
      <c r="D257" s="1">
        <v>0</v>
      </c>
      <c r="E257" s="1">
        <v>0</v>
      </c>
    </row>
    <row r="258" spans="2:5" x14ac:dyDescent="0.2">
      <c r="B258" s="1">
        <v>218</v>
      </c>
      <c r="C258" s="1" t="s">
        <v>697</v>
      </c>
      <c r="D258" s="1">
        <v>0</v>
      </c>
      <c r="E258" s="1">
        <v>0</v>
      </c>
    </row>
    <row r="259" spans="2:5" x14ac:dyDescent="0.2">
      <c r="B259" s="1">
        <v>219</v>
      </c>
      <c r="C259" s="1" t="s">
        <v>698</v>
      </c>
      <c r="D259" s="1">
        <v>0</v>
      </c>
      <c r="E259" s="1">
        <v>0</v>
      </c>
    </row>
    <row r="260" spans="2:5" x14ac:dyDescent="0.2">
      <c r="B260" s="1">
        <v>220</v>
      </c>
      <c r="C260" s="1" t="s">
        <v>699</v>
      </c>
      <c r="D260" s="1">
        <v>0</v>
      </c>
      <c r="E260" s="1">
        <v>0</v>
      </c>
    </row>
    <row r="261" spans="2:5" x14ac:dyDescent="0.2">
      <c r="B261" s="1">
        <v>221</v>
      </c>
      <c r="C261" s="1" t="s">
        <v>700</v>
      </c>
      <c r="D261" s="1">
        <v>0</v>
      </c>
      <c r="E261" s="1">
        <v>0</v>
      </c>
    </row>
    <row r="262" spans="2:5" x14ac:dyDescent="0.2">
      <c r="B262" s="1">
        <v>222</v>
      </c>
      <c r="C262" s="1" t="s">
        <v>701</v>
      </c>
      <c r="D262" s="1">
        <v>0</v>
      </c>
      <c r="E262" s="1">
        <v>0</v>
      </c>
    </row>
    <row r="263" spans="2:5" x14ac:dyDescent="0.2">
      <c r="B263" s="1">
        <v>223</v>
      </c>
      <c r="C263" s="1" t="s">
        <v>702</v>
      </c>
      <c r="D263" s="1">
        <v>0</v>
      </c>
      <c r="E263" s="1">
        <v>0</v>
      </c>
    </row>
    <row r="264" spans="2:5" x14ac:dyDescent="0.2">
      <c r="B264" s="1">
        <v>224</v>
      </c>
      <c r="C264" s="1" t="s">
        <v>219</v>
      </c>
      <c r="D264" s="1">
        <v>0</v>
      </c>
      <c r="E264" s="1">
        <v>0</v>
      </c>
    </row>
    <row r="265" spans="2:5" x14ac:dyDescent="0.2">
      <c r="B265" s="1">
        <v>225</v>
      </c>
      <c r="C265" s="1" t="s">
        <v>703</v>
      </c>
      <c r="D265" s="1">
        <v>0</v>
      </c>
      <c r="E265" s="1">
        <v>0</v>
      </c>
    </row>
    <row r="266" spans="2:5" x14ac:dyDescent="0.2">
      <c r="B266" s="1">
        <v>226</v>
      </c>
      <c r="C266" s="1" t="s">
        <v>704</v>
      </c>
      <c r="D266" s="1">
        <v>0</v>
      </c>
      <c r="E266" s="1">
        <v>0</v>
      </c>
    </row>
    <row r="267" spans="2:5" x14ac:dyDescent="0.2">
      <c r="B267" s="1">
        <v>227</v>
      </c>
      <c r="C267" s="1" t="s">
        <v>705</v>
      </c>
      <c r="D267" s="1">
        <v>0</v>
      </c>
      <c r="E267" s="1">
        <v>0</v>
      </c>
    </row>
    <row r="268" spans="2:5" x14ac:dyDescent="0.2">
      <c r="B268" s="1">
        <v>228</v>
      </c>
      <c r="C268" s="1" t="s">
        <v>706</v>
      </c>
      <c r="D268" s="1">
        <v>0</v>
      </c>
      <c r="E268" s="1">
        <v>0</v>
      </c>
    </row>
    <row r="269" spans="2:5" x14ac:dyDescent="0.2">
      <c r="B269" s="1">
        <v>229</v>
      </c>
      <c r="C269" s="1" t="s">
        <v>707</v>
      </c>
      <c r="D269" s="1">
        <v>0</v>
      </c>
      <c r="E269" s="1">
        <v>0</v>
      </c>
    </row>
    <row r="270" spans="2:5" x14ac:dyDescent="0.2">
      <c r="B270" s="1">
        <v>230</v>
      </c>
      <c r="C270" s="1" t="s">
        <v>708</v>
      </c>
      <c r="D270" s="1">
        <v>0</v>
      </c>
      <c r="E270" s="1">
        <v>0</v>
      </c>
    </row>
    <row r="271" spans="2:5" x14ac:dyDescent="0.2">
      <c r="B271" s="1">
        <v>231</v>
      </c>
      <c r="C271" s="1" t="s">
        <v>709</v>
      </c>
      <c r="D271" s="1">
        <v>0</v>
      </c>
      <c r="E271" s="1">
        <v>0</v>
      </c>
    </row>
    <row r="272" spans="2:5" x14ac:dyDescent="0.2">
      <c r="B272" s="1">
        <v>232</v>
      </c>
      <c r="C272" s="1" t="s">
        <v>710</v>
      </c>
      <c r="D272" s="1">
        <v>0</v>
      </c>
      <c r="E272" s="1">
        <v>0</v>
      </c>
    </row>
    <row r="273" spans="2:5" x14ac:dyDescent="0.2">
      <c r="B273" s="1">
        <v>233</v>
      </c>
      <c r="C273" s="1" t="s">
        <v>711</v>
      </c>
      <c r="D273" s="1">
        <v>0</v>
      </c>
      <c r="E273" s="1">
        <v>0</v>
      </c>
    </row>
    <row r="274" spans="2:5" x14ac:dyDescent="0.2">
      <c r="B274" s="1">
        <v>234</v>
      </c>
      <c r="C274" s="1" t="s">
        <v>712</v>
      </c>
      <c r="D274" s="1">
        <v>0</v>
      </c>
      <c r="E274" s="1">
        <v>0</v>
      </c>
    </row>
    <row r="275" spans="2:5" x14ac:dyDescent="0.2">
      <c r="B275" s="1">
        <v>235</v>
      </c>
      <c r="C275" s="1" t="s">
        <v>713</v>
      </c>
      <c r="D275" s="1">
        <v>0</v>
      </c>
      <c r="E275" s="1">
        <v>0</v>
      </c>
    </row>
    <row r="276" spans="2:5" x14ac:dyDescent="0.2">
      <c r="B276" s="1">
        <v>236</v>
      </c>
      <c r="C276" s="1" t="s">
        <v>714</v>
      </c>
      <c r="D276" s="1">
        <v>0</v>
      </c>
      <c r="E276" s="1">
        <v>0</v>
      </c>
    </row>
    <row r="277" spans="2:5" x14ac:dyDescent="0.2">
      <c r="B277" s="1">
        <v>237</v>
      </c>
      <c r="C277" s="1" t="s">
        <v>715</v>
      </c>
      <c r="D277" s="1">
        <v>0</v>
      </c>
      <c r="E277" s="1">
        <v>0</v>
      </c>
    </row>
    <row r="278" spans="2:5" x14ac:dyDescent="0.2">
      <c r="B278" s="1">
        <v>238</v>
      </c>
      <c r="C278" s="1" t="s">
        <v>155</v>
      </c>
      <c r="D278" s="1">
        <v>0</v>
      </c>
      <c r="E278" s="1">
        <v>0</v>
      </c>
    </row>
    <row r="279" spans="2:5" x14ac:dyDescent="0.2">
      <c r="B279" s="1">
        <v>239</v>
      </c>
      <c r="C279" s="1" t="s">
        <v>716</v>
      </c>
      <c r="D279" s="1">
        <v>0</v>
      </c>
      <c r="E279" s="1">
        <v>0</v>
      </c>
    </row>
    <row r="280" spans="2:5" x14ac:dyDescent="0.2">
      <c r="B280" s="1">
        <v>240</v>
      </c>
      <c r="C280" s="1" t="s">
        <v>717</v>
      </c>
      <c r="D280" s="1">
        <v>0</v>
      </c>
      <c r="E280" s="1">
        <v>0</v>
      </c>
    </row>
    <row r="281" spans="2:5" x14ac:dyDescent="0.2">
      <c r="B281" s="1">
        <v>241</v>
      </c>
      <c r="C281" s="1" t="s">
        <v>718</v>
      </c>
      <c r="D281" s="1">
        <v>0</v>
      </c>
      <c r="E281" s="1">
        <v>0</v>
      </c>
    </row>
    <row r="282" spans="2:5" x14ac:dyDescent="0.2">
      <c r="B282" s="1">
        <v>242</v>
      </c>
      <c r="C282" s="1" t="s">
        <v>159</v>
      </c>
      <c r="D282" s="1">
        <v>0</v>
      </c>
      <c r="E282" s="1">
        <v>0</v>
      </c>
    </row>
    <row r="283" spans="2:5" x14ac:dyDescent="0.2">
      <c r="B283" s="1">
        <v>243</v>
      </c>
      <c r="C283" s="1" t="s">
        <v>719</v>
      </c>
      <c r="D283" s="1">
        <v>0</v>
      </c>
      <c r="E283" s="1">
        <v>0</v>
      </c>
    </row>
    <row r="284" spans="2:5" x14ac:dyDescent="0.2">
      <c r="B284" s="1">
        <v>244</v>
      </c>
      <c r="C284" s="1" t="s">
        <v>720</v>
      </c>
      <c r="D284" s="1">
        <v>0</v>
      </c>
      <c r="E284" s="1">
        <v>0</v>
      </c>
    </row>
    <row r="285" spans="2:5" x14ac:dyDescent="0.2">
      <c r="B285" s="1">
        <v>245</v>
      </c>
      <c r="C285" s="1" t="s">
        <v>235</v>
      </c>
      <c r="D285" s="1">
        <v>0</v>
      </c>
      <c r="E285" s="1">
        <v>0</v>
      </c>
    </row>
    <row r="286" spans="2:5" x14ac:dyDescent="0.2">
      <c r="B286" s="1">
        <v>246</v>
      </c>
      <c r="C286" s="1" t="s">
        <v>721</v>
      </c>
      <c r="D286" s="1">
        <v>0</v>
      </c>
      <c r="E286" s="1">
        <v>0</v>
      </c>
    </row>
    <row r="287" spans="2:5" x14ac:dyDescent="0.2">
      <c r="B287" s="1">
        <v>247</v>
      </c>
      <c r="C287" s="1" t="s">
        <v>722</v>
      </c>
      <c r="D287" s="1">
        <v>0</v>
      </c>
      <c r="E287" s="1">
        <v>0</v>
      </c>
    </row>
    <row r="288" spans="2:5" x14ac:dyDescent="0.2">
      <c r="B288" s="1">
        <v>248</v>
      </c>
      <c r="C288" s="1" t="s">
        <v>723</v>
      </c>
      <c r="D288" s="1">
        <v>0</v>
      </c>
      <c r="E288" s="1">
        <v>0</v>
      </c>
    </row>
    <row r="289" spans="2:5" x14ac:dyDescent="0.2">
      <c r="B289" s="1">
        <v>249</v>
      </c>
      <c r="C289" s="1" t="s">
        <v>724</v>
      </c>
      <c r="D289" s="1">
        <v>0</v>
      </c>
      <c r="E289" s="1">
        <v>0</v>
      </c>
    </row>
    <row r="290" spans="2:5" x14ac:dyDescent="0.2">
      <c r="B290" s="1">
        <v>250</v>
      </c>
      <c r="C290" s="1" t="s">
        <v>725</v>
      </c>
      <c r="D290" s="1">
        <v>0</v>
      </c>
      <c r="E290" s="1">
        <v>0</v>
      </c>
    </row>
    <row r="291" spans="2:5" x14ac:dyDescent="0.2">
      <c r="B291" s="1">
        <v>251</v>
      </c>
      <c r="C291" s="1" t="s">
        <v>726</v>
      </c>
      <c r="D291" s="1">
        <v>0</v>
      </c>
      <c r="E291" s="1">
        <v>0</v>
      </c>
    </row>
    <row r="292" spans="2:5" x14ac:dyDescent="0.2">
      <c r="B292" s="1">
        <v>252</v>
      </c>
      <c r="C292" s="1" t="s">
        <v>727</v>
      </c>
      <c r="D292" s="1">
        <v>0</v>
      </c>
      <c r="E292" s="1">
        <v>0</v>
      </c>
    </row>
    <row r="293" spans="2:5" x14ac:dyDescent="0.2">
      <c r="B293" s="1">
        <v>253</v>
      </c>
      <c r="C293" s="1" t="s">
        <v>728</v>
      </c>
      <c r="D293" s="1">
        <v>0</v>
      </c>
      <c r="E293" s="1">
        <v>0</v>
      </c>
    </row>
    <row r="294" spans="2:5" x14ac:dyDescent="0.2">
      <c r="B294" s="1">
        <v>254</v>
      </c>
      <c r="C294" s="1" t="s">
        <v>729</v>
      </c>
      <c r="D294" s="1">
        <v>0</v>
      </c>
      <c r="E294" s="1">
        <v>0</v>
      </c>
    </row>
    <row r="295" spans="2:5" x14ac:dyDescent="0.2">
      <c r="B295" s="1">
        <v>255</v>
      </c>
      <c r="C295" s="1" t="s">
        <v>251</v>
      </c>
      <c r="D295" s="1">
        <v>0</v>
      </c>
      <c r="E295" s="1">
        <v>0</v>
      </c>
    </row>
    <row r="296" spans="2:5" x14ac:dyDescent="0.2">
      <c r="B296" s="1">
        <v>256</v>
      </c>
      <c r="C296" s="1" t="s">
        <v>173</v>
      </c>
      <c r="D296" s="1">
        <v>0</v>
      </c>
      <c r="E296" s="1">
        <v>0</v>
      </c>
    </row>
    <row r="297" spans="2:5" x14ac:dyDescent="0.2">
      <c r="B297" s="1">
        <v>257</v>
      </c>
      <c r="C297" s="1" t="s">
        <v>730</v>
      </c>
      <c r="D297" s="1">
        <v>0</v>
      </c>
      <c r="E297" s="1">
        <v>0</v>
      </c>
    </row>
    <row r="298" spans="2:5" x14ac:dyDescent="0.2">
      <c r="B298" s="1">
        <v>258</v>
      </c>
      <c r="C298" s="1" t="s">
        <v>731</v>
      </c>
      <c r="D298" s="1">
        <v>0</v>
      </c>
      <c r="E298" s="1">
        <v>0</v>
      </c>
    </row>
    <row r="299" spans="2:5" x14ac:dyDescent="0.2">
      <c r="B299" s="1">
        <v>259</v>
      </c>
      <c r="C299" s="1" t="s">
        <v>732</v>
      </c>
      <c r="D299" s="1">
        <v>0</v>
      </c>
      <c r="E299" s="1">
        <v>0</v>
      </c>
    </row>
    <row r="300" spans="2:5" x14ac:dyDescent="0.2">
      <c r="B300" s="1">
        <v>260</v>
      </c>
      <c r="C300" s="1" t="s">
        <v>733</v>
      </c>
      <c r="D300" s="1">
        <v>0</v>
      </c>
      <c r="E300" s="1">
        <v>0</v>
      </c>
    </row>
    <row r="301" spans="2:5" x14ac:dyDescent="0.2">
      <c r="B301" s="1">
        <v>261</v>
      </c>
      <c r="C301" s="1" t="s">
        <v>734</v>
      </c>
      <c r="D301" s="1">
        <v>0</v>
      </c>
      <c r="E301" s="1">
        <v>0</v>
      </c>
    </row>
    <row r="302" spans="2:5" x14ac:dyDescent="0.2">
      <c r="B302" s="1">
        <v>262</v>
      </c>
      <c r="C302" s="1" t="s">
        <v>735</v>
      </c>
      <c r="D302" s="1">
        <v>0</v>
      </c>
      <c r="E302" s="1">
        <v>0</v>
      </c>
    </row>
    <row r="303" spans="2:5" x14ac:dyDescent="0.2">
      <c r="B303" s="1">
        <v>263</v>
      </c>
      <c r="C303" s="1" t="s">
        <v>736</v>
      </c>
      <c r="D303" s="1">
        <v>0</v>
      </c>
      <c r="E303" s="1">
        <v>0</v>
      </c>
    </row>
    <row r="304" spans="2:5" x14ac:dyDescent="0.2">
      <c r="B304" s="1">
        <v>264</v>
      </c>
      <c r="C304" s="1" t="s">
        <v>737</v>
      </c>
      <c r="D304" s="1">
        <v>0</v>
      </c>
      <c r="E304" s="1">
        <v>0</v>
      </c>
    </row>
    <row r="305" spans="2:5" x14ac:dyDescent="0.2">
      <c r="B305" s="1">
        <v>265</v>
      </c>
      <c r="C305" s="1" t="s">
        <v>738</v>
      </c>
      <c r="D305" s="1">
        <v>0</v>
      </c>
      <c r="E305" s="1">
        <v>0</v>
      </c>
    </row>
    <row r="306" spans="2:5" x14ac:dyDescent="0.2">
      <c r="B306" s="1">
        <v>266</v>
      </c>
      <c r="C306" s="1" t="s">
        <v>739</v>
      </c>
      <c r="D306" s="1">
        <v>0</v>
      </c>
      <c r="E306" s="1">
        <v>0</v>
      </c>
    </row>
    <row r="307" spans="2:5" x14ac:dyDescent="0.2">
      <c r="B307" s="1">
        <v>267</v>
      </c>
      <c r="C307" s="1" t="s">
        <v>740</v>
      </c>
      <c r="D307" s="1">
        <v>0</v>
      </c>
      <c r="E307" s="1">
        <v>0</v>
      </c>
    </row>
    <row r="308" spans="2:5" x14ac:dyDescent="0.2">
      <c r="B308" s="1">
        <v>268</v>
      </c>
      <c r="C308" s="1" t="s">
        <v>741</v>
      </c>
      <c r="D308" s="1">
        <v>0</v>
      </c>
      <c r="E308" s="1">
        <v>0</v>
      </c>
    </row>
    <row r="309" spans="2:5" x14ac:dyDescent="0.2">
      <c r="B309" s="1">
        <v>269</v>
      </c>
      <c r="C309" s="1" t="s">
        <v>206</v>
      </c>
      <c r="D309" s="1">
        <v>0</v>
      </c>
      <c r="E309" s="1">
        <v>0</v>
      </c>
    </row>
    <row r="310" spans="2:5" x14ac:dyDescent="0.2">
      <c r="B310" s="1">
        <v>270</v>
      </c>
      <c r="C310" s="1" t="s">
        <v>170</v>
      </c>
      <c r="D310" s="1">
        <v>0</v>
      </c>
      <c r="E310" s="1">
        <v>0</v>
      </c>
    </row>
    <row r="311" spans="2:5" x14ac:dyDescent="0.2">
      <c r="B311" s="1">
        <v>271</v>
      </c>
      <c r="C311" s="1" t="s">
        <v>742</v>
      </c>
      <c r="D311" s="1">
        <v>0</v>
      </c>
      <c r="E311" s="1">
        <v>0</v>
      </c>
    </row>
    <row r="312" spans="2:5" x14ac:dyDescent="0.2">
      <c r="B312" s="1">
        <v>272</v>
      </c>
      <c r="C312" s="1" t="s">
        <v>743</v>
      </c>
      <c r="D312" s="1">
        <v>0</v>
      </c>
      <c r="E312" s="1">
        <v>0</v>
      </c>
    </row>
    <row r="313" spans="2:5" x14ac:dyDescent="0.2">
      <c r="B313" s="1">
        <v>273</v>
      </c>
      <c r="C313" s="1" t="s">
        <v>744</v>
      </c>
      <c r="D313" s="1">
        <v>0</v>
      </c>
      <c r="E313" s="1">
        <v>0</v>
      </c>
    </row>
    <row r="314" spans="2:5" x14ac:dyDescent="0.2">
      <c r="B314" s="1">
        <v>274</v>
      </c>
      <c r="C314" s="1" t="s">
        <v>745</v>
      </c>
      <c r="D314" s="1">
        <v>0</v>
      </c>
      <c r="E314" s="1">
        <v>0</v>
      </c>
    </row>
    <row r="315" spans="2:5" x14ac:dyDescent="0.2">
      <c r="B315" s="1">
        <v>275</v>
      </c>
      <c r="C315" s="1" t="s">
        <v>746</v>
      </c>
      <c r="D315" s="1">
        <v>0</v>
      </c>
      <c r="E315" s="1">
        <v>0</v>
      </c>
    </row>
    <row r="316" spans="2:5" x14ac:dyDescent="0.2">
      <c r="B316" s="1">
        <v>276</v>
      </c>
      <c r="C316" s="1" t="s">
        <v>747</v>
      </c>
      <c r="D316" s="1">
        <v>0</v>
      </c>
      <c r="E316" s="1">
        <v>0</v>
      </c>
    </row>
    <row r="317" spans="2:5" x14ac:dyDescent="0.2">
      <c r="B317" s="1">
        <v>277</v>
      </c>
      <c r="C317" s="1" t="s">
        <v>748</v>
      </c>
      <c r="D317" s="1">
        <v>0</v>
      </c>
      <c r="E317" s="1">
        <v>0</v>
      </c>
    </row>
    <row r="318" spans="2:5" x14ac:dyDescent="0.2">
      <c r="B318" s="1">
        <v>278</v>
      </c>
      <c r="C318" s="1" t="s">
        <v>229</v>
      </c>
      <c r="D318" s="1">
        <v>0</v>
      </c>
      <c r="E318" s="1">
        <v>0</v>
      </c>
    </row>
    <row r="319" spans="2:5" x14ac:dyDescent="0.2">
      <c r="B319" s="1">
        <v>279</v>
      </c>
      <c r="C319" s="1" t="s">
        <v>749</v>
      </c>
      <c r="D319" s="1">
        <v>0</v>
      </c>
      <c r="E319" s="1">
        <v>0</v>
      </c>
    </row>
    <row r="320" spans="2:5" x14ac:dyDescent="0.2">
      <c r="B320" s="1">
        <v>280</v>
      </c>
      <c r="C320" s="1" t="s">
        <v>750</v>
      </c>
      <c r="D320" s="1">
        <v>0</v>
      </c>
      <c r="E320" s="1">
        <v>0</v>
      </c>
    </row>
    <row r="321" spans="2:5" x14ac:dyDescent="0.2">
      <c r="B321" s="1">
        <v>281</v>
      </c>
      <c r="C321" s="1" t="s">
        <v>751</v>
      </c>
      <c r="D321" s="1">
        <v>0</v>
      </c>
      <c r="E321" s="1">
        <v>0</v>
      </c>
    </row>
    <row r="322" spans="2:5" x14ac:dyDescent="0.2">
      <c r="B322" s="1">
        <v>282</v>
      </c>
      <c r="C322" s="1" t="s">
        <v>752</v>
      </c>
      <c r="D322" s="1">
        <v>0</v>
      </c>
      <c r="E322" s="1">
        <v>0</v>
      </c>
    </row>
    <row r="323" spans="2:5" x14ac:dyDescent="0.2">
      <c r="B323" s="1">
        <v>283</v>
      </c>
      <c r="C323" s="1" t="s">
        <v>164</v>
      </c>
      <c r="D323" s="1">
        <v>0</v>
      </c>
      <c r="E323" s="1">
        <v>0</v>
      </c>
    </row>
    <row r="324" spans="2:5" x14ac:dyDescent="0.2">
      <c r="B324" s="1">
        <v>284</v>
      </c>
      <c r="C324" s="1" t="s">
        <v>225</v>
      </c>
      <c r="D324" s="1">
        <v>0</v>
      </c>
      <c r="E324" s="1">
        <v>0</v>
      </c>
    </row>
    <row r="325" spans="2:5" x14ac:dyDescent="0.2">
      <c r="B325" s="1">
        <v>285</v>
      </c>
      <c r="C325" s="1" t="s">
        <v>55</v>
      </c>
      <c r="D325" s="1">
        <v>0</v>
      </c>
      <c r="E325" s="1">
        <v>0</v>
      </c>
    </row>
    <row r="326" spans="2:5" x14ac:dyDescent="0.2">
      <c r="B326" s="1">
        <v>286</v>
      </c>
      <c r="C326" s="1" t="s">
        <v>753</v>
      </c>
      <c r="D326" s="1">
        <v>0</v>
      </c>
      <c r="E326" s="1">
        <v>0</v>
      </c>
    </row>
    <row r="327" spans="2:5" x14ac:dyDescent="0.2">
      <c r="B327" s="1">
        <v>287</v>
      </c>
      <c r="C327" s="1" t="s">
        <v>244</v>
      </c>
      <c r="D327" s="1">
        <v>0</v>
      </c>
      <c r="E327" s="1">
        <v>0</v>
      </c>
    </row>
    <row r="328" spans="2:5" x14ac:dyDescent="0.2">
      <c r="B328" s="1">
        <v>288</v>
      </c>
      <c r="C328" s="1" t="s">
        <v>754</v>
      </c>
      <c r="D328" s="1">
        <v>0</v>
      </c>
      <c r="E328" s="1">
        <v>0</v>
      </c>
    </row>
    <row r="329" spans="2:5" x14ac:dyDescent="0.2">
      <c r="B329" s="1">
        <v>289</v>
      </c>
      <c r="C329" s="1" t="s">
        <v>755</v>
      </c>
      <c r="D329" s="1">
        <v>0</v>
      </c>
      <c r="E329" s="1">
        <v>0</v>
      </c>
    </row>
    <row r="330" spans="2:5" x14ac:dyDescent="0.2">
      <c r="B330" s="1">
        <v>290</v>
      </c>
      <c r="C330" s="1" t="s">
        <v>756</v>
      </c>
      <c r="D330" s="1">
        <v>0</v>
      </c>
      <c r="E330" s="1">
        <v>0</v>
      </c>
    </row>
    <row r="331" spans="2:5" x14ac:dyDescent="0.2">
      <c r="B331" s="1">
        <v>291</v>
      </c>
      <c r="C331" s="1" t="s">
        <v>211</v>
      </c>
      <c r="D331" s="1">
        <v>0</v>
      </c>
      <c r="E331" s="1">
        <v>0</v>
      </c>
    </row>
    <row r="332" spans="2:5" x14ac:dyDescent="0.2">
      <c r="B332" s="1">
        <v>292</v>
      </c>
      <c r="C332" s="1" t="s">
        <v>757</v>
      </c>
      <c r="D332" s="1">
        <v>0</v>
      </c>
      <c r="E332" s="1">
        <v>0</v>
      </c>
    </row>
    <row r="333" spans="2:5" x14ac:dyDescent="0.2">
      <c r="B333" s="1">
        <v>293</v>
      </c>
      <c r="C333" s="1" t="s">
        <v>158</v>
      </c>
      <c r="D333" s="1">
        <v>0</v>
      </c>
      <c r="E333" s="1">
        <v>0</v>
      </c>
    </row>
    <row r="334" spans="2:5" x14ac:dyDescent="0.2">
      <c r="B334" s="1">
        <v>294</v>
      </c>
      <c r="C334" s="1" t="s">
        <v>758</v>
      </c>
      <c r="D334" s="1">
        <v>0</v>
      </c>
      <c r="E334" s="1">
        <v>0</v>
      </c>
    </row>
    <row r="335" spans="2:5" x14ac:dyDescent="0.2">
      <c r="B335" s="1">
        <v>295</v>
      </c>
      <c r="C335" s="1" t="s">
        <v>759</v>
      </c>
      <c r="D335" s="1">
        <v>0</v>
      </c>
      <c r="E335" s="1">
        <v>0</v>
      </c>
    </row>
    <row r="336" spans="2:5" x14ac:dyDescent="0.2">
      <c r="B336" s="1">
        <v>296</v>
      </c>
      <c r="C336" s="1" t="s">
        <v>760</v>
      </c>
      <c r="D336" s="1">
        <v>0</v>
      </c>
      <c r="E336" s="1">
        <v>0</v>
      </c>
    </row>
    <row r="337" spans="2:5" x14ac:dyDescent="0.2">
      <c r="B337" s="1">
        <v>297</v>
      </c>
      <c r="C337" s="1" t="s">
        <v>761</v>
      </c>
      <c r="D337" s="1">
        <v>0</v>
      </c>
      <c r="E337" s="1">
        <v>0</v>
      </c>
    </row>
    <row r="338" spans="2:5" x14ac:dyDescent="0.2">
      <c r="B338" s="1">
        <v>298</v>
      </c>
      <c r="C338" s="1" t="s">
        <v>762</v>
      </c>
      <c r="D338" s="1">
        <v>0</v>
      </c>
      <c r="E338" s="1">
        <v>0</v>
      </c>
    </row>
    <row r="339" spans="2:5" x14ac:dyDescent="0.2">
      <c r="B339" s="1">
        <v>299</v>
      </c>
      <c r="C339" s="1" t="s">
        <v>298</v>
      </c>
      <c r="D339" s="1">
        <v>0</v>
      </c>
      <c r="E339" s="1">
        <v>0</v>
      </c>
    </row>
    <row r="340" spans="2:5" x14ac:dyDescent="0.2">
      <c r="B340" s="1">
        <v>300</v>
      </c>
      <c r="C340" s="1" t="s">
        <v>763</v>
      </c>
      <c r="D340" s="1">
        <v>0</v>
      </c>
      <c r="E340" s="1">
        <v>0</v>
      </c>
    </row>
    <row r="341" spans="2:5" x14ac:dyDescent="0.2">
      <c r="B341" s="1">
        <v>301</v>
      </c>
      <c r="C341" s="1" t="s">
        <v>764</v>
      </c>
      <c r="D341" s="1">
        <v>0</v>
      </c>
      <c r="E341" s="1">
        <v>0</v>
      </c>
    </row>
    <row r="342" spans="2:5" x14ac:dyDescent="0.2">
      <c r="B342" s="1">
        <v>302</v>
      </c>
      <c r="C342" s="1" t="s">
        <v>765</v>
      </c>
      <c r="D342" s="1">
        <v>0</v>
      </c>
      <c r="E342" s="1">
        <v>0</v>
      </c>
    </row>
    <row r="343" spans="2:5" x14ac:dyDescent="0.2">
      <c r="B343" s="1">
        <v>303</v>
      </c>
      <c r="C343" s="1" t="s">
        <v>766</v>
      </c>
      <c r="D343" s="1">
        <v>0</v>
      </c>
      <c r="E343" s="1">
        <v>0</v>
      </c>
    </row>
    <row r="344" spans="2:5" x14ac:dyDescent="0.2">
      <c r="B344" s="1">
        <v>304</v>
      </c>
      <c r="C344" s="1" t="s">
        <v>767</v>
      </c>
      <c r="D344" s="1">
        <v>0</v>
      </c>
      <c r="E344" s="1">
        <v>0</v>
      </c>
    </row>
    <row r="345" spans="2:5" x14ac:dyDescent="0.2">
      <c r="B345" s="1">
        <v>305</v>
      </c>
      <c r="C345" s="1" t="s">
        <v>768</v>
      </c>
      <c r="D345" s="1">
        <v>0</v>
      </c>
      <c r="E345" s="1">
        <v>0</v>
      </c>
    </row>
    <row r="346" spans="2:5" x14ac:dyDescent="0.2">
      <c r="B346" s="1">
        <v>306</v>
      </c>
      <c r="C346" s="1" t="s">
        <v>769</v>
      </c>
      <c r="D346" s="1">
        <v>0</v>
      </c>
      <c r="E346" s="1">
        <v>0</v>
      </c>
    </row>
    <row r="347" spans="2:5" x14ac:dyDescent="0.2">
      <c r="B347" s="1">
        <v>307</v>
      </c>
      <c r="C347" s="1" t="s">
        <v>770</v>
      </c>
      <c r="D347" s="1">
        <v>0</v>
      </c>
      <c r="E347" s="1">
        <v>0</v>
      </c>
    </row>
    <row r="348" spans="2:5" x14ac:dyDescent="0.2">
      <c r="B348" s="1">
        <v>308</v>
      </c>
      <c r="C348" s="1" t="s">
        <v>771</v>
      </c>
      <c r="D348" s="1">
        <v>0</v>
      </c>
      <c r="E348" s="1">
        <v>0</v>
      </c>
    </row>
    <row r="349" spans="2:5" x14ac:dyDescent="0.2">
      <c r="B349" s="1">
        <v>309</v>
      </c>
      <c r="C349" s="1" t="s">
        <v>772</v>
      </c>
      <c r="D349" s="1">
        <v>0</v>
      </c>
      <c r="E349" s="1">
        <v>0</v>
      </c>
    </row>
    <row r="350" spans="2:5" x14ac:dyDescent="0.2">
      <c r="B350" s="1">
        <v>310</v>
      </c>
      <c r="C350" s="1" t="s">
        <v>773</v>
      </c>
      <c r="D350" s="1">
        <v>0</v>
      </c>
      <c r="E350" s="1">
        <v>0</v>
      </c>
    </row>
    <row r="351" spans="2:5" x14ac:dyDescent="0.2">
      <c r="B351" s="1">
        <v>311</v>
      </c>
      <c r="C351" s="1" t="s">
        <v>774</v>
      </c>
      <c r="D351" s="1">
        <v>0</v>
      </c>
      <c r="E351" s="1">
        <v>0</v>
      </c>
    </row>
    <row r="352" spans="2:5" x14ac:dyDescent="0.2">
      <c r="B352" s="1">
        <v>312</v>
      </c>
      <c r="C352" s="1" t="s">
        <v>775</v>
      </c>
      <c r="D352" s="1">
        <v>0</v>
      </c>
      <c r="E352" s="1">
        <v>0</v>
      </c>
    </row>
    <row r="353" spans="2:5" x14ac:dyDescent="0.2">
      <c r="B353" s="1">
        <v>313</v>
      </c>
      <c r="C353" s="1" t="s">
        <v>184</v>
      </c>
      <c r="D353" s="1">
        <v>0</v>
      </c>
      <c r="E353" s="1">
        <v>0</v>
      </c>
    </row>
    <row r="354" spans="2:5" x14ac:dyDescent="0.2">
      <c r="B354" s="1">
        <v>314</v>
      </c>
      <c r="C354" s="1" t="s">
        <v>180</v>
      </c>
      <c r="D354" s="1">
        <v>0</v>
      </c>
      <c r="E354" s="1">
        <v>0</v>
      </c>
    </row>
    <row r="355" spans="2:5" x14ac:dyDescent="0.2">
      <c r="B355" s="1">
        <v>315</v>
      </c>
      <c r="C355" s="1" t="s">
        <v>776</v>
      </c>
      <c r="D355" s="1">
        <v>0</v>
      </c>
      <c r="E355" s="1">
        <v>0</v>
      </c>
    </row>
    <row r="356" spans="2:5" x14ac:dyDescent="0.2">
      <c r="B356" s="1">
        <v>316</v>
      </c>
      <c r="C356" s="1" t="s">
        <v>777</v>
      </c>
      <c r="D356" s="1">
        <v>0</v>
      </c>
      <c r="E356" s="1">
        <v>0</v>
      </c>
    </row>
    <row r="357" spans="2:5" x14ac:dyDescent="0.2">
      <c r="B357" s="1">
        <v>317</v>
      </c>
      <c r="C357" s="1" t="s">
        <v>778</v>
      </c>
      <c r="D357" s="1">
        <v>0</v>
      </c>
      <c r="E357" s="1">
        <v>0</v>
      </c>
    </row>
    <row r="358" spans="2:5" x14ac:dyDescent="0.2">
      <c r="B358" s="1">
        <v>318</v>
      </c>
      <c r="C358" s="1" t="s">
        <v>779</v>
      </c>
      <c r="D358" s="1">
        <v>0</v>
      </c>
      <c r="E358" s="1">
        <v>0</v>
      </c>
    </row>
    <row r="359" spans="2:5" x14ac:dyDescent="0.2">
      <c r="B359" s="1">
        <v>319</v>
      </c>
      <c r="C359" s="1" t="s">
        <v>780</v>
      </c>
      <c r="D359" s="1">
        <v>0</v>
      </c>
      <c r="E359" s="1">
        <v>0</v>
      </c>
    </row>
    <row r="360" spans="2:5" x14ac:dyDescent="0.2">
      <c r="B360" s="1">
        <v>320</v>
      </c>
      <c r="C360" s="1" t="s">
        <v>253</v>
      </c>
      <c r="D360" s="1">
        <v>0</v>
      </c>
      <c r="E360" s="1">
        <v>0</v>
      </c>
    </row>
    <row r="361" spans="2:5" x14ac:dyDescent="0.2">
      <c r="B361" s="1">
        <v>321</v>
      </c>
      <c r="C361" s="1" t="s">
        <v>781</v>
      </c>
      <c r="D361" s="1">
        <v>0</v>
      </c>
      <c r="E361" s="1">
        <v>0</v>
      </c>
    </row>
    <row r="362" spans="2:5" x14ac:dyDescent="0.2">
      <c r="B362" s="1">
        <v>322</v>
      </c>
      <c r="C362" s="1" t="s">
        <v>782</v>
      </c>
      <c r="D362" s="1">
        <v>0</v>
      </c>
      <c r="E362" s="1">
        <v>0</v>
      </c>
    </row>
    <row r="363" spans="2:5" x14ac:dyDescent="0.2">
      <c r="B363" s="1">
        <v>323</v>
      </c>
      <c r="C363" s="1" t="s">
        <v>783</v>
      </c>
      <c r="D363" s="1">
        <v>0</v>
      </c>
      <c r="E363" s="1">
        <v>0</v>
      </c>
    </row>
    <row r="364" spans="2:5" x14ac:dyDescent="0.2">
      <c r="B364" s="1">
        <v>324</v>
      </c>
      <c r="C364" s="1" t="s">
        <v>241</v>
      </c>
      <c r="D364" s="1">
        <v>0</v>
      </c>
      <c r="E364" s="1">
        <v>0</v>
      </c>
    </row>
    <row r="365" spans="2:5" x14ac:dyDescent="0.2">
      <c r="B365" s="1">
        <v>325</v>
      </c>
      <c r="C365" s="1" t="s">
        <v>147</v>
      </c>
      <c r="D365" s="1">
        <v>0</v>
      </c>
      <c r="E365" s="1">
        <v>0</v>
      </c>
    </row>
    <row r="366" spans="2:5" x14ac:dyDescent="0.2">
      <c r="B366" s="1">
        <v>326</v>
      </c>
      <c r="C366" s="1" t="s">
        <v>784</v>
      </c>
      <c r="D366" s="1">
        <v>0</v>
      </c>
      <c r="E366" s="1">
        <v>0</v>
      </c>
    </row>
    <row r="367" spans="2:5" x14ac:dyDescent="0.2">
      <c r="B367" s="1">
        <v>327</v>
      </c>
      <c r="C367" s="1" t="s">
        <v>785</v>
      </c>
      <c r="D367" s="1">
        <v>0</v>
      </c>
      <c r="E367" s="1">
        <v>0</v>
      </c>
    </row>
    <row r="368" spans="2:5" x14ac:dyDescent="0.2">
      <c r="B368" s="1">
        <v>328</v>
      </c>
      <c r="C368" s="1" t="s">
        <v>786</v>
      </c>
      <c r="D368" s="1">
        <v>0</v>
      </c>
      <c r="E368" s="1">
        <v>0</v>
      </c>
    </row>
    <row r="369" spans="2:5" x14ac:dyDescent="0.2">
      <c r="B369" s="1">
        <v>329</v>
      </c>
      <c r="C369" s="1" t="s">
        <v>787</v>
      </c>
      <c r="D369" s="1">
        <v>0</v>
      </c>
      <c r="E369" s="1">
        <v>0</v>
      </c>
    </row>
    <row r="370" spans="2:5" x14ac:dyDescent="0.2">
      <c r="B370" s="1">
        <v>330</v>
      </c>
      <c r="C370" s="1" t="s">
        <v>788</v>
      </c>
      <c r="D370" s="1">
        <v>0</v>
      </c>
      <c r="E370" s="1">
        <v>0</v>
      </c>
    </row>
    <row r="371" spans="2:5" x14ac:dyDescent="0.2">
      <c r="B371" s="1">
        <v>331</v>
      </c>
      <c r="C371" s="1" t="s">
        <v>789</v>
      </c>
      <c r="D371" s="1">
        <v>0</v>
      </c>
      <c r="E371" s="1">
        <v>0</v>
      </c>
    </row>
    <row r="372" spans="2:5" x14ac:dyDescent="0.2">
      <c r="B372" s="1">
        <v>332</v>
      </c>
      <c r="C372" s="1" t="s">
        <v>790</v>
      </c>
      <c r="D372" s="1">
        <v>0</v>
      </c>
      <c r="E372" s="1">
        <v>0</v>
      </c>
    </row>
    <row r="373" spans="2:5" x14ac:dyDescent="0.2">
      <c r="B373" s="1">
        <v>333</v>
      </c>
      <c r="C373" s="1" t="s">
        <v>791</v>
      </c>
      <c r="D373" s="1">
        <v>0</v>
      </c>
      <c r="E373" s="1">
        <v>0</v>
      </c>
    </row>
    <row r="374" spans="2:5" x14ac:dyDescent="0.2">
      <c r="B374" s="1">
        <v>334</v>
      </c>
      <c r="C374" s="1" t="s">
        <v>792</v>
      </c>
      <c r="D374" s="1">
        <v>0</v>
      </c>
      <c r="E374" s="1">
        <v>0</v>
      </c>
    </row>
    <row r="375" spans="2:5" x14ac:dyDescent="0.2">
      <c r="B375" s="1">
        <v>335</v>
      </c>
      <c r="C375" s="1" t="s">
        <v>793</v>
      </c>
      <c r="D375" s="1">
        <v>0</v>
      </c>
      <c r="E375" s="1">
        <v>0</v>
      </c>
    </row>
    <row r="376" spans="2:5" x14ac:dyDescent="0.2">
      <c r="B376" s="1">
        <v>336</v>
      </c>
      <c r="C376" s="1" t="s">
        <v>794</v>
      </c>
      <c r="D376" s="1">
        <v>0</v>
      </c>
      <c r="E376" s="1">
        <v>0</v>
      </c>
    </row>
    <row r="377" spans="2:5" x14ac:dyDescent="0.2">
      <c r="B377" s="1">
        <v>337</v>
      </c>
      <c r="C377" s="1" t="s">
        <v>795</v>
      </c>
      <c r="D377" s="1">
        <v>0</v>
      </c>
      <c r="E377" s="1">
        <v>0</v>
      </c>
    </row>
    <row r="378" spans="2:5" x14ac:dyDescent="0.2">
      <c r="B378" s="1">
        <v>338</v>
      </c>
      <c r="C378" s="1" t="s">
        <v>796</v>
      </c>
      <c r="D378" s="1">
        <v>0</v>
      </c>
      <c r="E378" s="1">
        <v>0</v>
      </c>
    </row>
    <row r="379" spans="2:5" x14ac:dyDescent="0.2">
      <c r="B379" s="1">
        <v>339</v>
      </c>
      <c r="C379" s="1" t="s">
        <v>797</v>
      </c>
      <c r="D379" s="1">
        <v>0</v>
      </c>
      <c r="E379" s="1">
        <v>0</v>
      </c>
    </row>
    <row r="380" spans="2:5" x14ac:dyDescent="0.2">
      <c r="B380" s="1">
        <v>340</v>
      </c>
      <c r="C380" s="1" t="s">
        <v>156</v>
      </c>
      <c r="D380" s="1">
        <v>0</v>
      </c>
      <c r="E380" s="1">
        <v>0</v>
      </c>
    </row>
    <row r="381" spans="2:5" x14ac:dyDescent="0.2">
      <c r="B381" s="1">
        <v>341</v>
      </c>
      <c r="C381" s="1" t="s">
        <v>798</v>
      </c>
      <c r="D381" s="1">
        <v>0</v>
      </c>
      <c r="E381" s="1">
        <v>0</v>
      </c>
    </row>
    <row r="382" spans="2:5" x14ac:dyDescent="0.2">
      <c r="B382" s="1">
        <v>342</v>
      </c>
      <c r="C382" s="1" t="s">
        <v>799</v>
      </c>
      <c r="D382" s="1">
        <v>0</v>
      </c>
      <c r="E382" s="1">
        <v>0</v>
      </c>
    </row>
    <row r="383" spans="2:5" x14ac:dyDescent="0.2">
      <c r="B383" s="1">
        <v>343</v>
      </c>
      <c r="C383" s="1" t="s">
        <v>161</v>
      </c>
      <c r="D383" s="1">
        <v>0</v>
      </c>
      <c r="E383" s="1">
        <v>0</v>
      </c>
    </row>
    <row r="384" spans="2:5" x14ac:dyDescent="0.2">
      <c r="B384" s="1">
        <v>344</v>
      </c>
      <c r="C384" s="1" t="s">
        <v>261</v>
      </c>
      <c r="D384" s="1">
        <v>0</v>
      </c>
      <c r="E384" s="1">
        <v>0</v>
      </c>
    </row>
    <row r="385" spans="2:5" x14ac:dyDescent="0.2">
      <c r="B385" s="1">
        <v>345</v>
      </c>
      <c r="C385" s="1" t="s">
        <v>800</v>
      </c>
      <c r="D385" s="1">
        <v>0</v>
      </c>
      <c r="E385" s="1">
        <v>0</v>
      </c>
    </row>
    <row r="386" spans="2:5" x14ac:dyDescent="0.2">
      <c r="B386" s="1">
        <v>346</v>
      </c>
      <c r="C386" s="1" t="s">
        <v>801</v>
      </c>
      <c r="D386" s="1">
        <v>0</v>
      </c>
      <c r="E386" s="1">
        <v>0</v>
      </c>
    </row>
    <row r="387" spans="2:5" x14ac:dyDescent="0.2">
      <c r="B387" s="1">
        <v>347</v>
      </c>
      <c r="C387" s="1" t="s">
        <v>802</v>
      </c>
      <c r="D387" s="1">
        <v>0</v>
      </c>
      <c r="E387" s="1">
        <v>0</v>
      </c>
    </row>
    <row r="388" spans="2:5" x14ac:dyDescent="0.2">
      <c r="B388" s="1">
        <v>348</v>
      </c>
      <c r="C388" s="1" t="s">
        <v>803</v>
      </c>
      <c r="D388" s="1">
        <v>0</v>
      </c>
      <c r="E388" s="1">
        <v>0</v>
      </c>
    </row>
    <row r="389" spans="2:5" x14ac:dyDescent="0.2">
      <c r="B389" s="1">
        <v>349</v>
      </c>
      <c r="C389" s="1" t="s">
        <v>804</v>
      </c>
      <c r="D389" s="1">
        <v>0</v>
      </c>
      <c r="E389" s="1">
        <v>0</v>
      </c>
    </row>
    <row r="390" spans="2:5" x14ac:dyDescent="0.2">
      <c r="B390" s="1">
        <v>350</v>
      </c>
      <c r="C390" s="1" t="s">
        <v>805</v>
      </c>
      <c r="D390" s="1">
        <v>0</v>
      </c>
      <c r="E390" s="1">
        <v>0</v>
      </c>
    </row>
    <row r="391" spans="2:5" x14ac:dyDescent="0.2">
      <c r="B391" s="1">
        <v>351</v>
      </c>
      <c r="C391" s="1" t="s">
        <v>806</v>
      </c>
      <c r="D391" s="1">
        <v>0</v>
      </c>
      <c r="E391" s="1">
        <v>0</v>
      </c>
    </row>
    <row r="392" spans="2:5" x14ac:dyDescent="0.2">
      <c r="B392" s="1">
        <v>352</v>
      </c>
      <c r="C392" s="1" t="s">
        <v>294</v>
      </c>
      <c r="D392" s="1">
        <v>0</v>
      </c>
      <c r="E392" s="1">
        <v>0</v>
      </c>
    </row>
    <row r="393" spans="2:5" x14ac:dyDescent="0.2">
      <c r="B393" s="1">
        <v>353</v>
      </c>
      <c r="C393" s="1" t="s">
        <v>807</v>
      </c>
      <c r="D393" s="1">
        <v>0</v>
      </c>
      <c r="E393" s="1">
        <v>0</v>
      </c>
    </row>
    <row r="394" spans="2:5" x14ac:dyDescent="0.2">
      <c r="B394" s="1">
        <v>354</v>
      </c>
      <c r="C394" s="1" t="s">
        <v>808</v>
      </c>
      <c r="D394" s="1">
        <v>0</v>
      </c>
      <c r="E394" s="1">
        <v>0</v>
      </c>
    </row>
    <row r="395" spans="2:5" x14ac:dyDescent="0.2">
      <c r="B395" s="1">
        <v>355</v>
      </c>
      <c r="C395" s="1" t="s">
        <v>809</v>
      </c>
      <c r="D395" s="1">
        <v>0</v>
      </c>
      <c r="E395" s="1">
        <v>0</v>
      </c>
    </row>
    <row r="396" spans="2:5" x14ac:dyDescent="0.2">
      <c r="B396" s="1">
        <v>356</v>
      </c>
      <c r="C396" s="1" t="s">
        <v>810</v>
      </c>
      <c r="D396" s="1">
        <v>0</v>
      </c>
      <c r="E396" s="1">
        <v>0</v>
      </c>
    </row>
    <row r="397" spans="2:5" x14ac:dyDescent="0.2">
      <c r="B397" s="1">
        <v>357</v>
      </c>
      <c r="C397" s="1" t="s">
        <v>811</v>
      </c>
      <c r="D397" s="1">
        <v>0</v>
      </c>
      <c r="E397" s="1">
        <v>0</v>
      </c>
    </row>
    <row r="398" spans="2:5" x14ac:dyDescent="0.2">
      <c r="B398" s="1">
        <v>358</v>
      </c>
      <c r="C398" s="1" t="s">
        <v>812</v>
      </c>
      <c r="D398" s="1">
        <v>0</v>
      </c>
      <c r="E398" s="1">
        <v>0</v>
      </c>
    </row>
    <row r="399" spans="2:5" x14ac:dyDescent="0.2">
      <c r="B399" s="1">
        <v>359</v>
      </c>
      <c r="C399" s="1" t="s">
        <v>813</v>
      </c>
      <c r="D399" s="1">
        <v>0</v>
      </c>
      <c r="E399" s="1">
        <v>0</v>
      </c>
    </row>
    <row r="400" spans="2:5" x14ac:dyDescent="0.2">
      <c r="B400" s="1">
        <v>360</v>
      </c>
      <c r="C400" s="1" t="s">
        <v>814</v>
      </c>
      <c r="D400" s="1">
        <v>0</v>
      </c>
      <c r="E400" s="1">
        <v>0</v>
      </c>
    </row>
    <row r="401" spans="2:5" x14ac:dyDescent="0.2">
      <c r="B401" s="1">
        <v>361</v>
      </c>
      <c r="C401" s="1" t="s">
        <v>815</v>
      </c>
      <c r="D401" s="1">
        <v>0</v>
      </c>
      <c r="E401" s="1">
        <v>0</v>
      </c>
    </row>
    <row r="402" spans="2:5" x14ac:dyDescent="0.2">
      <c r="B402" s="1">
        <v>362</v>
      </c>
      <c r="C402" s="1" t="s">
        <v>816</v>
      </c>
      <c r="D402" s="1">
        <v>0</v>
      </c>
      <c r="E402" s="1">
        <v>0</v>
      </c>
    </row>
    <row r="403" spans="2:5" x14ac:dyDescent="0.2">
      <c r="B403" s="1">
        <v>363</v>
      </c>
      <c r="C403" s="1" t="s">
        <v>817</v>
      </c>
      <c r="D403" s="1">
        <v>0</v>
      </c>
      <c r="E403" s="1">
        <v>0</v>
      </c>
    </row>
    <row r="404" spans="2:5" x14ac:dyDescent="0.2">
      <c r="B404" s="1">
        <v>364</v>
      </c>
      <c r="C404" s="1" t="s">
        <v>818</v>
      </c>
      <c r="D404" s="1">
        <v>0</v>
      </c>
      <c r="E404" s="1">
        <v>0</v>
      </c>
    </row>
    <row r="405" spans="2:5" x14ac:dyDescent="0.2">
      <c r="B405" s="1">
        <v>365</v>
      </c>
      <c r="C405" s="1" t="s">
        <v>819</v>
      </c>
      <c r="D405" s="1">
        <v>0</v>
      </c>
      <c r="E405" s="1">
        <v>0</v>
      </c>
    </row>
    <row r="406" spans="2:5" x14ac:dyDescent="0.2">
      <c r="B406" s="1">
        <v>366</v>
      </c>
      <c r="C406" s="1" t="s">
        <v>820</v>
      </c>
      <c r="D406" s="1">
        <v>0</v>
      </c>
      <c r="E406" s="1">
        <v>0</v>
      </c>
    </row>
    <row r="407" spans="2:5" x14ac:dyDescent="0.2">
      <c r="B407" s="1">
        <v>367</v>
      </c>
      <c r="C407" s="1" t="s">
        <v>821</v>
      </c>
      <c r="D407" s="1">
        <v>0</v>
      </c>
      <c r="E407" s="1">
        <v>0</v>
      </c>
    </row>
    <row r="408" spans="2:5" x14ac:dyDescent="0.2">
      <c r="B408" s="1">
        <v>368</v>
      </c>
      <c r="C408" s="1" t="s">
        <v>822</v>
      </c>
      <c r="D408" s="1">
        <v>0</v>
      </c>
      <c r="E408" s="1">
        <v>0</v>
      </c>
    </row>
    <row r="409" spans="2:5" x14ac:dyDescent="0.2">
      <c r="B409" s="1">
        <v>369</v>
      </c>
      <c r="C409" s="1" t="s">
        <v>260</v>
      </c>
      <c r="D409" s="1">
        <v>0</v>
      </c>
      <c r="E409" s="1">
        <v>0</v>
      </c>
    </row>
    <row r="410" spans="2:5" x14ac:dyDescent="0.2">
      <c r="B410" s="1">
        <v>370</v>
      </c>
      <c r="C410" s="1" t="s">
        <v>823</v>
      </c>
      <c r="D410" s="1">
        <v>0</v>
      </c>
      <c r="E410" s="1">
        <v>0</v>
      </c>
    </row>
    <row r="411" spans="2:5" x14ac:dyDescent="0.2">
      <c r="B411" s="1">
        <v>371</v>
      </c>
      <c r="C411" s="1" t="s">
        <v>220</v>
      </c>
      <c r="D411" s="1">
        <v>0</v>
      </c>
      <c r="E411" s="1">
        <v>0</v>
      </c>
    </row>
    <row r="412" spans="2:5" x14ac:dyDescent="0.2">
      <c r="B412" s="1">
        <v>372</v>
      </c>
      <c r="C412" s="1" t="s">
        <v>824</v>
      </c>
      <c r="D412" s="1">
        <v>0</v>
      </c>
      <c r="E412" s="1">
        <v>0</v>
      </c>
    </row>
    <row r="413" spans="2:5" x14ac:dyDescent="0.2">
      <c r="B413" s="1">
        <v>373</v>
      </c>
      <c r="C413" s="1" t="s">
        <v>289</v>
      </c>
      <c r="D413" s="1">
        <v>0</v>
      </c>
      <c r="E413" s="1">
        <v>0</v>
      </c>
    </row>
    <row r="414" spans="2:5" x14ac:dyDescent="0.2">
      <c r="B414" s="1">
        <v>374</v>
      </c>
      <c r="C414" s="1" t="s">
        <v>194</v>
      </c>
      <c r="D414" s="1">
        <v>0</v>
      </c>
      <c r="E414" s="1">
        <v>0</v>
      </c>
    </row>
    <row r="415" spans="2:5" x14ac:dyDescent="0.2">
      <c r="B415" s="1">
        <v>375</v>
      </c>
      <c r="C415" s="1" t="s">
        <v>825</v>
      </c>
      <c r="D415" s="1">
        <v>0</v>
      </c>
      <c r="E415" s="1">
        <v>0</v>
      </c>
    </row>
    <row r="416" spans="2:5" x14ac:dyDescent="0.2">
      <c r="B416" s="1">
        <v>376</v>
      </c>
      <c r="C416" s="1" t="s">
        <v>212</v>
      </c>
      <c r="D416" s="1">
        <v>0</v>
      </c>
      <c r="E416" s="1">
        <v>0</v>
      </c>
    </row>
    <row r="417" spans="2:5" x14ac:dyDescent="0.2">
      <c r="B417" s="1">
        <v>377</v>
      </c>
      <c r="C417" s="1" t="s">
        <v>826</v>
      </c>
      <c r="D417" s="1">
        <v>0</v>
      </c>
      <c r="E417" s="1">
        <v>0</v>
      </c>
    </row>
    <row r="418" spans="2:5" x14ac:dyDescent="0.2">
      <c r="B418" s="1">
        <v>378</v>
      </c>
      <c r="C418" s="1" t="s">
        <v>827</v>
      </c>
      <c r="D418" s="1">
        <v>0</v>
      </c>
      <c r="E418" s="1">
        <v>0</v>
      </c>
    </row>
    <row r="419" spans="2:5" x14ac:dyDescent="0.2">
      <c r="B419" s="1">
        <v>379</v>
      </c>
      <c r="C419" s="1" t="s">
        <v>828</v>
      </c>
      <c r="D419" s="1">
        <v>0</v>
      </c>
      <c r="E419" s="1">
        <v>0</v>
      </c>
    </row>
    <row r="420" spans="2:5" x14ac:dyDescent="0.2">
      <c r="B420" s="1">
        <v>380</v>
      </c>
      <c r="C420" s="1" t="s">
        <v>829</v>
      </c>
      <c r="D420" s="1">
        <v>0</v>
      </c>
      <c r="E420" s="1">
        <v>0</v>
      </c>
    </row>
    <row r="421" spans="2:5" x14ac:dyDescent="0.2">
      <c r="B421" s="1">
        <v>381</v>
      </c>
      <c r="C421" s="1" t="s">
        <v>830</v>
      </c>
      <c r="D421" s="1">
        <v>0</v>
      </c>
      <c r="E421" s="1">
        <v>0</v>
      </c>
    </row>
    <row r="422" spans="2:5" x14ac:dyDescent="0.2">
      <c r="B422" s="1">
        <v>382</v>
      </c>
      <c r="C422" s="1" t="s">
        <v>831</v>
      </c>
      <c r="D422" s="1">
        <v>0</v>
      </c>
      <c r="E422" s="1">
        <v>0</v>
      </c>
    </row>
    <row r="423" spans="2:5" x14ac:dyDescent="0.2">
      <c r="B423" s="1">
        <v>383</v>
      </c>
      <c r="C423" s="1" t="s">
        <v>832</v>
      </c>
      <c r="D423" s="1">
        <v>0</v>
      </c>
      <c r="E423" s="1">
        <v>0</v>
      </c>
    </row>
    <row r="424" spans="2:5" x14ac:dyDescent="0.2">
      <c r="B424" s="1">
        <v>384</v>
      </c>
      <c r="C424" s="1" t="s">
        <v>833</v>
      </c>
      <c r="D424" s="1">
        <v>0</v>
      </c>
      <c r="E424" s="1">
        <v>0</v>
      </c>
    </row>
    <row r="425" spans="2:5" x14ac:dyDescent="0.2">
      <c r="B425" s="1">
        <v>385</v>
      </c>
      <c r="C425" s="1" t="s">
        <v>834</v>
      </c>
      <c r="D425" s="1">
        <v>0</v>
      </c>
      <c r="E425" s="1">
        <v>0</v>
      </c>
    </row>
    <row r="426" spans="2:5" x14ac:dyDescent="0.2">
      <c r="B426" s="1">
        <v>386</v>
      </c>
      <c r="C426" s="1" t="s">
        <v>835</v>
      </c>
      <c r="D426" s="1">
        <v>0</v>
      </c>
      <c r="E426" s="1">
        <v>0</v>
      </c>
    </row>
    <row r="427" spans="2:5" x14ac:dyDescent="0.2">
      <c r="B427" s="1">
        <v>387</v>
      </c>
      <c r="C427" s="1" t="s">
        <v>836</v>
      </c>
      <c r="D427" s="1">
        <v>0</v>
      </c>
      <c r="E427" s="1">
        <v>0</v>
      </c>
    </row>
    <row r="428" spans="2:5" x14ac:dyDescent="0.2">
      <c r="B428" s="1">
        <v>388</v>
      </c>
      <c r="C428" s="1" t="s">
        <v>149</v>
      </c>
      <c r="D428" s="1">
        <v>0</v>
      </c>
      <c r="E428" s="1">
        <v>0</v>
      </c>
    </row>
    <row r="429" spans="2:5" x14ac:dyDescent="0.2">
      <c r="B429" s="1">
        <v>389</v>
      </c>
      <c r="C429" s="1" t="s">
        <v>837</v>
      </c>
      <c r="D429" s="1">
        <v>0</v>
      </c>
      <c r="E429" s="1">
        <v>0</v>
      </c>
    </row>
    <row r="430" spans="2:5" x14ac:dyDescent="0.2">
      <c r="B430" s="1">
        <v>390</v>
      </c>
      <c r="C430" s="1" t="s">
        <v>838</v>
      </c>
      <c r="D430" s="1">
        <v>0</v>
      </c>
      <c r="E430" s="1">
        <v>0</v>
      </c>
    </row>
    <row r="431" spans="2:5" x14ac:dyDescent="0.2">
      <c r="B431" s="1">
        <v>391</v>
      </c>
      <c r="C431" s="1" t="s">
        <v>207</v>
      </c>
      <c r="D431" s="1">
        <v>0</v>
      </c>
      <c r="E431" s="1">
        <v>0</v>
      </c>
    </row>
    <row r="432" spans="2:5" x14ac:dyDescent="0.2">
      <c r="B432" s="1">
        <v>392</v>
      </c>
      <c r="C432" s="1" t="s">
        <v>839</v>
      </c>
      <c r="D432" s="1">
        <v>0</v>
      </c>
      <c r="E432" s="1">
        <v>0</v>
      </c>
    </row>
    <row r="433" spans="2:5" x14ac:dyDescent="0.2">
      <c r="B433" s="1">
        <v>393</v>
      </c>
      <c r="C433" s="1" t="s">
        <v>178</v>
      </c>
      <c r="D433" s="1">
        <v>0</v>
      </c>
      <c r="E433" s="1">
        <v>0</v>
      </c>
    </row>
    <row r="434" spans="2:5" x14ac:dyDescent="0.2">
      <c r="B434" s="1">
        <v>394</v>
      </c>
      <c r="C434" s="1" t="s">
        <v>840</v>
      </c>
      <c r="D434" s="1">
        <v>0</v>
      </c>
      <c r="E434" s="1">
        <v>0</v>
      </c>
    </row>
    <row r="435" spans="2:5" x14ac:dyDescent="0.2">
      <c r="B435" s="1">
        <v>395</v>
      </c>
      <c r="C435" s="1" t="s">
        <v>841</v>
      </c>
      <c r="D435" s="1">
        <v>0</v>
      </c>
      <c r="E435" s="1">
        <v>0</v>
      </c>
    </row>
    <row r="436" spans="2:5" x14ac:dyDescent="0.2">
      <c r="B436" s="1">
        <v>396</v>
      </c>
      <c r="C436" s="1" t="s">
        <v>842</v>
      </c>
      <c r="D436" s="1">
        <v>0</v>
      </c>
      <c r="E436" s="1">
        <v>0</v>
      </c>
    </row>
    <row r="437" spans="2:5" x14ac:dyDescent="0.2">
      <c r="B437" s="1">
        <v>397</v>
      </c>
      <c r="C437" s="1" t="s">
        <v>248</v>
      </c>
      <c r="D437" s="1">
        <v>0</v>
      </c>
      <c r="E437" s="1">
        <v>0</v>
      </c>
    </row>
    <row r="438" spans="2:5" x14ac:dyDescent="0.2">
      <c r="B438" s="1">
        <v>398</v>
      </c>
      <c r="C438" s="1" t="s">
        <v>843</v>
      </c>
      <c r="D438" s="1">
        <v>0</v>
      </c>
      <c r="E438" s="1">
        <v>0</v>
      </c>
    </row>
    <row r="439" spans="2:5" x14ac:dyDescent="0.2">
      <c r="B439" s="1">
        <v>399</v>
      </c>
      <c r="C439" s="1" t="s">
        <v>844</v>
      </c>
      <c r="D439" s="1">
        <v>0</v>
      </c>
      <c r="E439" s="1">
        <v>0</v>
      </c>
    </row>
    <row r="440" spans="2:5" x14ac:dyDescent="0.2">
      <c r="B440" s="1">
        <v>400</v>
      </c>
      <c r="C440" s="1" t="s">
        <v>845</v>
      </c>
      <c r="D440" s="1">
        <v>0</v>
      </c>
      <c r="E440" s="1">
        <v>0</v>
      </c>
    </row>
    <row r="441" spans="2:5" x14ac:dyDescent="0.2">
      <c r="B441" s="1">
        <v>401</v>
      </c>
      <c r="C441" s="1" t="s">
        <v>846</v>
      </c>
      <c r="D441" s="1">
        <v>0</v>
      </c>
      <c r="E441" s="1">
        <v>0</v>
      </c>
    </row>
    <row r="442" spans="2:5" x14ac:dyDescent="0.2">
      <c r="B442" s="1">
        <v>402</v>
      </c>
      <c r="C442" s="1" t="s">
        <v>258</v>
      </c>
      <c r="D442" s="1">
        <v>0</v>
      </c>
      <c r="E442" s="1">
        <v>0</v>
      </c>
    </row>
    <row r="443" spans="2:5" x14ac:dyDescent="0.2">
      <c r="B443" s="1">
        <v>403</v>
      </c>
      <c r="C443" s="1" t="s">
        <v>847</v>
      </c>
      <c r="D443" s="1">
        <v>0</v>
      </c>
      <c r="E443" s="1">
        <v>0</v>
      </c>
    </row>
    <row r="444" spans="2:5" x14ac:dyDescent="0.2">
      <c r="B444" s="1">
        <v>404</v>
      </c>
      <c r="C444" s="1" t="s">
        <v>181</v>
      </c>
      <c r="D444" s="1">
        <v>0</v>
      </c>
      <c r="E444" s="1">
        <v>0</v>
      </c>
    </row>
    <row r="445" spans="2:5" x14ac:dyDescent="0.2">
      <c r="B445" s="1">
        <v>405</v>
      </c>
      <c r="C445" s="1" t="s">
        <v>848</v>
      </c>
      <c r="D445" s="1">
        <v>0</v>
      </c>
      <c r="E445" s="1">
        <v>0</v>
      </c>
    </row>
    <row r="446" spans="2:5" x14ac:dyDescent="0.2">
      <c r="B446" s="1">
        <v>406</v>
      </c>
      <c r="C446" s="1" t="s">
        <v>849</v>
      </c>
      <c r="D446" s="1">
        <v>0</v>
      </c>
      <c r="E446" s="1">
        <v>0</v>
      </c>
    </row>
    <row r="447" spans="2:5" x14ac:dyDescent="0.2">
      <c r="B447" s="1">
        <v>407</v>
      </c>
      <c r="C447" s="1" t="s">
        <v>850</v>
      </c>
      <c r="D447" s="1">
        <v>0</v>
      </c>
      <c r="E447" s="1">
        <v>0</v>
      </c>
    </row>
    <row r="448" spans="2:5" x14ac:dyDescent="0.2">
      <c r="B448" s="1">
        <v>408</v>
      </c>
      <c r="C448" s="1" t="s">
        <v>280</v>
      </c>
      <c r="D448" s="1">
        <v>0</v>
      </c>
      <c r="E448" s="1">
        <v>0</v>
      </c>
    </row>
    <row r="449" spans="2:5" x14ac:dyDescent="0.2">
      <c r="B449" s="1">
        <v>409</v>
      </c>
      <c r="C449" s="1" t="s">
        <v>851</v>
      </c>
      <c r="D449" s="1">
        <v>0</v>
      </c>
      <c r="E449" s="1">
        <v>0</v>
      </c>
    </row>
    <row r="450" spans="2:5" x14ac:dyDescent="0.2">
      <c r="B450" s="1">
        <v>410</v>
      </c>
      <c r="C450" s="1" t="s">
        <v>852</v>
      </c>
      <c r="D450" s="1">
        <v>0</v>
      </c>
      <c r="E450" s="1">
        <v>0</v>
      </c>
    </row>
    <row r="451" spans="2:5" x14ac:dyDescent="0.2">
      <c r="B451" s="1">
        <v>411</v>
      </c>
      <c r="C451" s="1" t="s">
        <v>853</v>
      </c>
      <c r="D451" s="1">
        <v>0</v>
      </c>
      <c r="E451" s="1">
        <v>0</v>
      </c>
    </row>
    <row r="452" spans="2:5" x14ac:dyDescent="0.2">
      <c r="B452" s="1">
        <v>412</v>
      </c>
      <c r="C452" s="1" t="s">
        <v>854</v>
      </c>
      <c r="D452" s="1">
        <v>0</v>
      </c>
      <c r="E452" s="1">
        <v>0</v>
      </c>
    </row>
    <row r="453" spans="2:5" x14ac:dyDescent="0.2">
      <c r="B453" s="1">
        <v>413</v>
      </c>
      <c r="C453" s="1" t="s">
        <v>855</v>
      </c>
      <c r="D453" s="1">
        <v>0</v>
      </c>
      <c r="E453" s="1">
        <v>0</v>
      </c>
    </row>
    <row r="454" spans="2:5" x14ac:dyDescent="0.2">
      <c r="B454" s="1">
        <v>414</v>
      </c>
      <c r="C454" s="1" t="s">
        <v>856</v>
      </c>
      <c r="D454" s="1">
        <v>0</v>
      </c>
      <c r="E454" s="1">
        <v>0</v>
      </c>
    </row>
    <row r="455" spans="2:5" x14ac:dyDescent="0.2">
      <c r="B455" s="1">
        <v>415</v>
      </c>
      <c r="C455" s="1" t="s">
        <v>857</v>
      </c>
      <c r="D455" s="1">
        <v>0</v>
      </c>
      <c r="E455" s="1">
        <v>0</v>
      </c>
    </row>
    <row r="456" spans="2:5" x14ac:dyDescent="0.2">
      <c r="B456" s="1">
        <v>416</v>
      </c>
      <c r="C456" s="1" t="s">
        <v>858</v>
      </c>
      <c r="D456" s="1">
        <v>0</v>
      </c>
      <c r="E456" s="1">
        <v>0</v>
      </c>
    </row>
    <row r="457" spans="2:5" x14ac:dyDescent="0.2">
      <c r="B457" s="1">
        <v>417</v>
      </c>
      <c r="C457" s="1" t="s">
        <v>859</v>
      </c>
      <c r="D457" s="1">
        <v>0</v>
      </c>
      <c r="E457" s="1">
        <v>0</v>
      </c>
    </row>
    <row r="458" spans="2:5" x14ac:dyDescent="0.2">
      <c r="B458" s="1">
        <v>418</v>
      </c>
      <c r="C458" s="1" t="s">
        <v>860</v>
      </c>
      <c r="D458" s="1">
        <v>0</v>
      </c>
      <c r="E458" s="1">
        <v>0</v>
      </c>
    </row>
    <row r="459" spans="2:5" x14ac:dyDescent="0.2">
      <c r="B459" s="1">
        <v>419</v>
      </c>
      <c r="C459" s="1" t="s">
        <v>861</v>
      </c>
      <c r="D459" s="1">
        <v>0</v>
      </c>
      <c r="E459" s="1">
        <v>0</v>
      </c>
    </row>
    <row r="460" spans="2:5" x14ac:dyDescent="0.2">
      <c r="B460" s="1">
        <v>420</v>
      </c>
      <c r="C460" s="1" t="s">
        <v>862</v>
      </c>
      <c r="D460" s="1">
        <v>0</v>
      </c>
      <c r="E460" s="1">
        <v>0</v>
      </c>
    </row>
    <row r="461" spans="2:5" x14ac:dyDescent="0.2">
      <c r="B461" s="1">
        <v>421</v>
      </c>
      <c r="C461" s="1" t="s">
        <v>863</v>
      </c>
      <c r="D461" s="1">
        <v>0</v>
      </c>
      <c r="E461" s="1">
        <v>0</v>
      </c>
    </row>
    <row r="462" spans="2:5" x14ac:dyDescent="0.2">
      <c r="B462" s="1">
        <v>422</v>
      </c>
      <c r="C462" s="1" t="s">
        <v>864</v>
      </c>
      <c r="D462" s="1">
        <v>0</v>
      </c>
      <c r="E462" s="1">
        <v>0</v>
      </c>
    </row>
    <row r="463" spans="2:5" x14ac:dyDescent="0.2">
      <c r="B463" s="1">
        <v>423</v>
      </c>
      <c r="C463" s="1" t="s">
        <v>865</v>
      </c>
      <c r="D463" s="1">
        <v>0</v>
      </c>
      <c r="E463" s="1">
        <v>0</v>
      </c>
    </row>
    <row r="464" spans="2:5" x14ac:dyDescent="0.2">
      <c r="B464" s="1">
        <v>424</v>
      </c>
      <c r="C464" s="1" t="s">
        <v>166</v>
      </c>
      <c r="D464" s="1">
        <v>0</v>
      </c>
      <c r="E464" s="1">
        <v>0</v>
      </c>
    </row>
    <row r="465" spans="2:5" x14ac:dyDescent="0.2">
      <c r="B465" s="1">
        <v>425</v>
      </c>
      <c r="C465" s="1" t="s">
        <v>174</v>
      </c>
      <c r="D465" s="1">
        <v>0</v>
      </c>
      <c r="E465" s="1">
        <v>0</v>
      </c>
    </row>
    <row r="466" spans="2:5" x14ac:dyDescent="0.2">
      <c r="B466" s="1">
        <v>426</v>
      </c>
      <c r="C466" s="1" t="s">
        <v>151</v>
      </c>
      <c r="D466" s="1">
        <v>0</v>
      </c>
      <c r="E466" s="1">
        <v>0</v>
      </c>
    </row>
    <row r="467" spans="2:5" x14ac:dyDescent="0.2">
      <c r="B467" s="1">
        <v>427</v>
      </c>
      <c r="C467" s="1" t="s">
        <v>866</v>
      </c>
      <c r="D467" s="1">
        <v>0</v>
      </c>
      <c r="E467" s="1">
        <v>0</v>
      </c>
    </row>
    <row r="468" spans="2:5" x14ac:dyDescent="0.2">
      <c r="B468" s="1">
        <v>428</v>
      </c>
      <c r="C468" s="1" t="s">
        <v>867</v>
      </c>
      <c r="D468" s="1">
        <v>0</v>
      </c>
      <c r="E468" s="1">
        <v>0</v>
      </c>
    </row>
    <row r="469" spans="2:5" x14ac:dyDescent="0.2">
      <c r="B469" s="1">
        <v>429</v>
      </c>
      <c r="C469" s="1" t="s">
        <v>868</v>
      </c>
      <c r="D469" s="1">
        <v>0</v>
      </c>
      <c r="E469" s="1">
        <v>0</v>
      </c>
    </row>
    <row r="470" spans="2:5" x14ac:dyDescent="0.2">
      <c r="B470" s="1">
        <v>430</v>
      </c>
      <c r="C470" s="1" t="s">
        <v>869</v>
      </c>
      <c r="D470" s="1">
        <v>0</v>
      </c>
      <c r="E470" s="1">
        <v>0</v>
      </c>
    </row>
    <row r="471" spans="2:5" x14ac:dyDescent="0.2">
      <c r="B471" s="1">
        <v>431</v>
      </c>
      <c r="C471" s="1" t="s">
        <v>870</v>
      </c>
      <c r="D471" s="1">
        <v>0</v>
      </c>
      <c r="E471" s="1">
        <v>0</v>
      </c>
    </row>
    <row r="472" spans="2:5" x14ac:dyDescent="0.2">
      <c r="B472" s="1">
        <v>432</v>
      </c>
      <c r="C472" s="1" t="s">
        <v>871</v>
      </c>
      <c r="D472" s="1">
        <v>0</v>
      </c>
      <c r="E472" s="1">
        <v>0</v>
      </c>
    </row>
    <row r="473" spans="2:5" x14ac:dyDescent="0.2">
      <c r="B473" s="1">
        <v>433</v>
      </c>
      <c r="C473" s="1" t="s">
        <v>872</v>
      </c>
      <c r="D473" s="1">
        <v>0</v>
      </c>
      <c r="E473" s="1">
        <v>0</v>
      </c>
    </row>
    <row r="474" spans="2:5" x14ac:dyDescent="0.2">
      <c r="B474" s="1">
        <v>434</v>
      </c>
      <c r="C474" s="1" t="s">
        <v>252</v>
      </c>
      <c r="D474" s="1">
        <v>0</v>
      </c>
      <c r="E474" s="1">
        <v>0</v>
      </c>
    </row>
    <row r="475" spans="2:5" x14ac:dyDescent="0.2">
      <c r="B475" s="1">
        <v>435</v>
      </c>
      <c r="C475" s="1" t="s">
        <v>205</v>
      </c>
      <c r="D475" s="1">
        <v>0</v>
      </c>
      <c r="E475" s="1">
        <v>0</v>
      </c>
    </row>
    <row r="476" spans="2:5" x14ac:dyDescent="0.2">
      <c r="B476" s="1">
        <v>436</v>
      </c>
      <c r="C476" s="1" t="s">
        <v>263</v>
      </c>
      <c r="D476" s="1">
        <v>0</v>
      </c>
      <c r="E476" s="1">
        <v>0</v>
      </c>
    </row>
    <row r="477" spans="2:5" x14ac:dyDescent="0.2">
      <c r="B477" s="1">
        <v>437</v>
      </c>
      <c r="C477" s="1" t="s">
        <v>873</v>
      </c>
      <c r="D477" s="1">
        <v>0</v>
      </c>
      <c r="E477" s="1">
        <v>0</v>
      </c>
    </row>
    <row r="478" spans="2:5" x14ac:dyDescent="0.2">
      <c r="B478" s="1">
        <v>438</v>
      </c>
      <c r="C478" s="1" t="s">
        <v>167</v>
      </c>
      <c r="D478" s="1">
        <v>0</v>
      </c>
      <c r="E478" s="1">
        <v>0</v>
      </c>
    </row>
    <row r="479" spans="2:5" x14ac:dyDescent="0.2">
      <c r="B479" s="1">
        <v>439</v>
      </c>
      <c r="C479" s="1" t="s">
        <v>874</v>
      </c>
      <c r="D479" s="1">
        <v>0</v>
      </c>
      <c r="E479" s="1">
        <v>0</v>
      </c>
    </row>
    <row r="480" spans="2:5" x14ac:dyDescent="0.2">
      <c r="B480" s="1">
        <v>440</v>
      </c>
      <c r="C480" s="1" t="s">
        <v>875</v>
      </c>
      <c r="D480" s="1">
        <v>0</v>
      </c>
      <c r="E480" s="1">
        <v>0</v>
      </c>
    </row>
    <row r="481" spans="2:5" x14ac:dyDescent="0.2">
      <c r="B481" s="1">
        <v>441</v>
      </c>
      <c r="C481" s="1" t="s">
        <v>183</v>
      </c>
      <c r="D481" s="1">
        <v>0</v>
      </c>
      <c r="E481" s="1">
        <v>0</v>
      </c>
    </row>
    <row r="482" spans="2:5" x14ac:dyDescent="0.2">
      <c r="B482" s="1">
        <v>442</v>
      </c>
      <c r="C482" s="1" t="s">
        <v>876</v>
      </c>
      <c r="D482" s="1">
        <v>0</v>
      </c>
      <c r="E482" s="1">
        <v>0</v>
      </c>
    </row>
    <row r="483" spans="2:5" x14ac:dyDescent="0.2">
      <c r="B483" s="1">
        <v>443</v>
      </c>
      <c r="C483" s="1" t="s">
        <v>877</v>
      </c>
      <c r="D483" s="1">
        <v>0</v>
      </c>
      <c r="E483" s="1">
        <v>0</v>
      </c>
    </row>
    <row r="484" spans="2:5" x14ac:dyDescent="0.2">
      <c r="B484" s="1">
        <v>444</v>
      </c>
      <c r="C484" s="1" t="s">
        <v>878</v>
      </c>
      <c r="D484" s="1">
        <v>0</v>
      </c>
      <c r="E484" s="1">
        <v>0</v>
      </c>
    </row>
    <row r="485" spans="2:5" x14ac:dyDescent="0.2">
      <c r="B485" s="1">
        <v>445</v>
      </c>
      <c r="C485" s="1" t="s">
        <v>879</v>
      </c>
      <c r="D485" s="1">
        <v>0</v>
      </c>
      <c r="E485" s="1">
        <v>0</v>
      </c>
    </row>
    <row r="486" spans="2:5" x14ac:dyDescent="0.2">
      <c r="B486" s="1">
        <v>446</v>
      </c>
      <c r="C486" s="1" t="s">
        <v>880</v>
      </c>
      <c r="D486" s="1">
        <v>0</v>
      </c>
      <c r="E486" s="1">
        <v>0</v>
      </c>
    </row>
    <row r="487" spans="2:5" x14ac:dyDescent="0.2">
      <c r="B487" s="1">
        <v>447</v>
      </c>
      <c r="C487" s="1" t="s">
        <v>881</v>
      </c>
      <c r="D487" s="1">
        <v>0</v>
      </c>
      <c r="E487" s="1">
        <v>0</v>
      </c>
    </row>
    <row r="488" spans="2:5" x14ac:dyDescent="0.2">
      <c r="B488" s="1">
        <v>448</v>
      </c>
      <c r="C488" s="1" t="s">
        <v>882</v>
      </c>
      <c r="D488" s="1">
        <v>0</v>
      </c>
      <c r="E488" s="1">
        <v>0</v>
      </c>
    </row>
    <row r="489" spans="2:5" x14ac:dyDescent="0.2">
      <c r="B489" s="1">
        <v>449</v>
      </c>
      <c r="C489" s="1" t="s">
        <v>883</v>
      </c>
      <c r="D489" s="1">
        <v>0</v>
      </c>
      <c r="E489" s="1">
        <v>0</v>
      </c>
    </row>
    <row r="490" spans="2:5" x14ac:dyDescent="0.2">
      <c r="B490" s="1">
        <v>450</v>
      </c>
      <c r="C490" s="1" t="s">
        <v>884</v>
      </c>
      <c r="D490" s="1">
        <v>0</v>
      </c>
      <c r="E490" s="1">
        <v>0</v>
      </c>
    </row>
    <row r="491" spans="2:5" x14ac:dyDescent="0.2">
      <c r="B491" s="1">
        <v>451</v>
      </c>
      <c r="C491" s="1" t="s">
        <v>885</v>
      </c>
      <c r="D491" s="1">
        <v>0</v>
      </c>
      <c r="E491" s="1">
        <v>0</v>
      </c>
    </row>
    <row r="492" spans="2:5" x14ac:dyDescent="0.2">
      <c r="B492" s="1">
        <v>452</v>
      </c>
      <c r="C492" s="1" t="s">
        <v>886</v>
      </c>
      <c r="D492" s="1">
        <v>0</v>
      </c>
      <c r="E492" s="1">
        <v>0</v>
      </c>
    </row>
    <row r="493" spans="2:5" x14ac:dyDescent="0.2">
      <c r="B493" s="1">
        <v>453</v>
      </c>
      <c r="C493" s="1" t="s">
        <v>887</v>
      </c>
      <c r="D493" s="1">
        <v>0</v>
      </c>
      <c r="E493" s="1">
        <v>0</v>
      </c>
    </row>
    <row r="494" spans="2:5" x14ac:dyDescent="0.2">
      <c r="B494" s="1">
        <v>454</v>
      </c>
      <c r="C494" s="1" t="s">
        <v>888</v>
      </c>
      <c r="D494" s="1">
        <v>0</v>
      </c>
      <c r="E494" s="1">
        <v>0</v>
      </c>
    </row>
    <row r="495" spans="2:5" x14ac:dyDescent="0.2">
      <c r="B495" s="1">
        <v>455</v>
      </c>
      <c r="C495" s="1" t="s">
        <v>889</v>
      </c>
      <c r="D495" s="1">
        <v>0</v>
      </c>
      <c r="E495" s="1">
        <v>0</v>
      </c>
    </row>
    <row r="496" spans="2:5" x14ac:dyDescent="0.2">
      <c r="B496" s="1">
        <v>456</v>
      </c>
      <c r="C496" s="1" t="s">
        <v>100</v>
      </c>
      <c r="D496" s="1">
        <v>0</v>
      </c>
      <c r="E496" s="1">
        <v>0</v>
      </c>
    </row>
    <row r="497" spans="2:5" x14ac:dyDescent="0.2">
      <c r="B497" s="1">
        <v>457</v>
      </c>
      <c r="C497" s="1" t="s">
        <v>890</v>
      </c>
      <c r="D497" s="1">
        <v>0</v>
      </c>
      <c r="E497" s="1">
        <v>0</v>
      </c>
    </row>
    <row r="498" spans="2:5" x14ac:dyDescent="0.2">
      <c r="B498" s="1">
        <v>458</v>
      </c>
      <c r="C498" s="1" t="s">
        <v>891</v>
      </c>
      <c r="D498" s="1">
        <v>0</v>
      </c>
      <c r="E498" s="1">
        <v>0</v>
      </c>
    </row>
    <row r="499" spans="2:5" x14ac:dyDescent="0.2">
      <c r="B499" s="1">
        <v>459</v>
      </c>
      <c r="C499" s="1" t="s">
        <v>892</v>
      </c>
      <c r="D499" s="1">
        <v>0</v>
      </c>
      <c r="E499" s="1">
        <v>0</v>
      </c>
    </row>
    <row r="500" spans="2:5" x14ac:dyDescent="0.2">
      <c r="B500" s="1">
        <v>460</v>
      </c>
      <c r="C500" s="1" t="s">
        <v>893</v>
      </c>
      <c r="D500" s="1">
        <v>0</v>
      </c>
      <c r="E500" s="1">
        <v>0</v>
      </c>
    </row>
    <row r="501" spans="2:5" x14ac:dyDescent="0.2">
      <c r="B501" s="1">
        <v>461</v>
      </c>
      <c r="C501" s="1" t="s">
        <v>894</v>
      </c>
      <c r="D501" s="1">
        <v>0</v>
      </c>
      <c r="E501" s="1">
        <v>0</v>
      </c>
    </row>
    <row r="502" spans="2:5" x14ac:dyDescent="0.2">
      <c r="B502" s="1">
        <v>462</v>
      </c>
      <c r="C502" s="1" t="s">
        <v>895</v>
      </c>
      <c r="D502" s="1">
        <v>0</v>
      </c>
      <c r="E502" s="1">
        <v>0</v>
      </c>
    </row>
    <row r="503" spans="2:5" x14ac:dyDescent="0.2">
      <c r="B503" s="1">
        <v>463</v>
      </c>
      <c r="C503" s="1" t="s">
        <v>896</v>
      </c>
      <c r="D503" s="1">
        <v>0</v>
      </c>
      <c r="E503" s="1">
        <v>0</v>
      </c>
    </row>
    <row r="504" spans="2:5" x14ac:dyDescent="0.2">
      <c r="B504" s="1">
        <v>464</v>
      </c>
      <c r="C504" s="1" t="s">
        <v>897</v>
      </c>
      <c r="D504" s="1">
        <v>0</v>
      </c>
      <c r="E504" s="1">
        <v>0</v>
      </c>
    </row>
    <row r="505" spans="2:5" x14ac:dyDescent="0.2">
      <c r="B505" s="1">
        <v>465</v>
      </c>
      <c r="C505" s="1" t="s">
        <v>898</v>
      </c>
      <c r="D505" s="1">
        <v>0</v>
      </c>
      <c r="E505" s="1">
        <v>0</v>
      </c>
    </row>
    <row r="506" spans="2:5" x14ac:dyDescent="0.2">
      <c r="B506" s="1">
        <v>466</v>
      </c>
      <c r="C506" s="1" t="s">
        <v>177</v>
      </c>
      <c r="D506" s="1">
        <v>0</v>
      </c>
      <c r="E506" s="1">
        <v>0</v>
      </c>
    </row>
    <row r="507" spans="2:5" x14ac:dyDescent="0.2">
      <c r="B507" s="1">
        <v>467</v>
      </c>
      <c r="C507" s="1" t="s">
        <v>899</v>
      </c>
      <c r="D507" s="1">
        <v>0</v>
      </c>
      <c r="E507" s="1">
        <v>0</v>
      </c>
    </row>
    <row r="508" spans="2:5" x14ac:dyDescent="0.2">
      <c r="B508" s="1">
        <v>468</v>
      </c>
      <c r="C508" s="1" t="s">
        <v>900</v>
      </c>
      <c r="D508" s="1">
        <v>0</v>
      </c>
      <c r="E508" s="1">
        <v>0</v>
      </c>
    </row>
    <row r="509" spans="2:5" x14ac:dyDescent="0.2">
      <c r="B509" s="1">
        <v>469</v>
      </c>
      <c r="C509" s="1" t="s">
        <v>901</v>
      </c>
      <c r="D509" s="1">
        <v>0</v>
      </c>
      <c r="E509" s="1">
        <v>0</v>
      </c>
    </row>
    <row r="510" spans="2:5" x14ac:dyDescent="0.2">
      <c r="B510" s="1">
        <v>470</v>
      </c>
      <c r="C510" s="1" t="s">
        <v>902</v>
      </c>
      <c r="D510" s="1">
        <v>0</v>
      </c>
      <c r="E510" s="1">
        <v>0</v>
      </c>
    </row>
    <row r="511" spans="2:5" x14ac:dyDescent="0.2">
      <c r="B511" s="1">
        <v>471</v>
      </c>
      <c r="C511" s="1" t="s">
        <v>1241</v>
      </c>
      <c r="D511" s="1">
        <v>0</v>
      </c>
      <c r="E511" s="1">
        <v>0</v>
      </c>
    </row>
    <row r="512" spans="2:5" x14ac:dyDescent="0.2">
      <c r="B512" s="1">
        <v>472</v>
      </c>
      <c r="C512" s="1" t="s">
        <v>165</v>
      </c>
      <c r="D512" s="1">
        <v>0</v>
      </c>
      <c r="E512" s="1">
        <v>0</v>
      </c>
    </row>
    <row r="513" spans="2:5" x14ac:dyDescent="0.2">
      <c r="B513" s="1">
        <v>473</v>
      </c>
      <c r="C513" s="1" t="s">
        <v>903</v>
      </c>
      <c r="D513" s="1">
        <v>0</v>
      </c>
      <c r="E513" s="1">
        <v>0</v>
      </c>
    </row>
    <row r="514" spans="2:5" x14ac:dyDescent="0.2">
      <c r="B514" s="1">
        <v>474</v>
      </c>
      <c r="C514" s="1" t="s">
        <v>272</v>
      </c>
      <c r="D514" s="1">
        <v>0</v>
      </c>
      <c r="E514" s="1">
        <v>0</v>
      </c>
    </row>
    <row r="515" spans="2:5" x14ac:dyDescent="0.2">
      <c r="B515" s="1">
        <v>475</v>
      </c>
      <c r="C515" s="1" t="s">
        <v>904</v>
      </c>
      <c r="D515" s="1">
        <v>0</v>
      </c>
      <c r="E515" s="1">
        <v>0</v>
      </c>
    </row>
    <row r="516" spans="2:5" x14ac:dyDescent="0.2">
      <c r="B516" s="1">
        <v>476</v>
      </c>
      <c r="C516" s="1" t="s">
        <v>905</v>
      </c>
      <c r="D516" s="1">
        <v>0</v>
      </c>
      <c r="E516" s="1">
        <v>0</v>
      </c>
    </row>
    <row r="517" spans="2:5" x14ac:dyDescent="0.2">
      <c r="B517" s="1">
        <v>477</v>
      </c>
      <c r="C517" s="1" t="s">
        <v>906</v>
      </c>
      <c r="D517" s="1">
        <v>0</v>
      </c>
      <c r="E517" s="1">
        <v>0</v>
      </c>
    </row>
    <row r="518" spans="2:5" x14ac:dyDescent="0.2">
      <c r="B518" s="1">
        <v>478</v>
      </c>
      <c r="C518" s="1" t="s">
        <v>907</v>
      </c>
      <c r="D518" s="1">
        <v>0</v>
      </c>
      <c r="E518" s="1">
        <v>0</v>
      </c>
    </row>
    <row r="519" spans="2:5" x14ac:dyDescent="0.2">
      <c r="B519" s="1">
        <v>479</v>
      </c>
      <c r="C519" s="1" t="s">
        <v>908</v>
      </c>
      <c r="D519" s="1">
        <v>0</v>
      </c>
      <c r="E519" s="1">
        <v>0</v>
      </c>
    </row>
    <row r="520" spans="2:5" x14ac:dyDescent="0.2">
      <c r="B520" s="1">
        <v>480</v>
      </c>
      <c r="C520" s="1" t="s">
        <v>909</v>
      </c>
      <c r="D520" s="1">
        <v>0</v>
      </c>
      <c r="E520" s="1">
        <v>0</v>
      </c>
    </row>
    <row r="521" spans="2:5" x14ac:dyDescent="0.2">
      <c r="B521" s="1">
        <v>481</v>
      </c>
      <c r="C521" s="1" t="s">
        <v>910</v>
      </c>
      <c r="D521" s="1">
        <v>0</v>
      </c>
      <c r="E521" s="1">
        <v>0</v>
      </c>
    </row>
    <row r="522" spans="2:5" x14ac:dyDescent="0.2">
      <c r="B522" s="1">
        <v>482</v>
      </c>
      <c r="C522" s="1" t="s">
        <v>911</v>
      </c>
      <c r="D522" s="1">
        <v>0</v>
      </c>
      <c r="E522" s="1">
        <v>0</v>
      </c>
    </row>
    <row r="523" spans="2:5" x14ac:dyDescent="0.2">
      <c r="B523" s="1">
        <v>483</v>
      </c>
      <c r="C523" s="1" t="s">
        <v>297</v>
      </c>
      <c r="D523" s="1">
        <v>0</v>
      </c>
      <c r="E523" s="1">
        <v>0</v>
      </c>
    </row>
    <row r="524" spans="2:5" x14ac:dyDescent="0.2">
      <c r="B524" s="1">
        <v>484</v>
      </c>
      <c r="C524" s="1" t="s">
        <v>912</v>
      </c>
      <c r="D524" s="1">
        <v>0</v>
      </c>
      <c r="E524" s="1">
        <v>0</v>
      </c>
    </row>
    <row r="525" spans="2:5" x14ac:dyDescent="0.2">
      <c r="B525" s="1">
        <v>485</v>
      </c>
      <c r="C525" s="1" t="s">
        <v>913</v>
      </c>
      <c r="D525" s="1">
        <v>0</v>
      </c>
      <c r="E525" s="1">
        <v>0</v>
      </c>
    </row>
    <row r="526" spans="2:5" x14ac:dyDescent="0.2">
      <c r="B526" s="1">
        <v>486</v>
      </c>
      <c r="C526" s="1" t="s">
        <v>914</v>
      </c>
      <c r="D526" s="1">
        <v>0</v>
      </c>
      <c r="E526" s="1">
        <v>0</v>
      </c>
    </row>
    <row r="527" spans="2:5" x14ac:dyDescent="0.2">
      <c r="B527" s="1">
        <v>487</v>
      </c>
      <c r="C527" s="1" t="s">
        <v>915</v>
      </c>
      <c r="D527" s="1">
        <v>0</v>
      </c>
      <c r="E527" s="1">
        <v>0</v>
      </c>
    </row>
    <row r="528" spans="2:5" x14ac:dyDescent="0.2">
      <c r="B528" s="1">
        <v>488</v>
      </c>
      <c r="C528" s="1" t="s">
        <v>916</v>
      </c>
      <c r="D528" s="1">
        <v>0</v>
      </c>
      <c r="E528" s="1">
        <v>0</v>
      </c>
    </row>
    <row r="529" spans="2:5" x14ac:dyDescent="0.2">
      <c r="B529" s="1">
        <v>489</v>
      </c>
      <c r="C529" s="1" t="s">
        <v>917</v>
      </c>
      <c r="D529" s="1">
        <v>0</v>
      </c>
      <c r="E529" s="1">
        <v>0</v>
      </c>
    </row>
    <row r="530" spans="2:5" x14ac:dyDescent="0.2">
      <c r="B530" s="1">
        <v>490</v>
      </c>
      <c r="C530" s="1" t="s">
        <v>918</v>
      </c>
      <c r="D530" s="1">
        <v>0</v>
      </c>
      <c r="E530" s="1">
        <v>0</v>
      </c>
    </row>
    <row r="531" spans="2:5" x14ac:dyDescent="0.2">
      <c r="B531" s="1">
        <v>491</v>
      </c>
      <c r="C531" s="1" t="s">
        <v>287</v>
      </c>
      <c r="D531" s="1">
        <v>0</v>
      </c>
      <c r="E531" s="1">
        <v>0</v>
      </c>
    </row>
    <row r="532" spans="2:5" x14ac:dyDescent="0.2">
      <c r="B532" s="1">
        <v>492</v>
      </c>
      <c r="C532" s="1" t="s">
        <v>199</v>
      </c>
      <c r="D532" s="1">
        <v>0</v>
      </c>
      <c r="E532" s="1">
        <v>0</v>
      </c>
    </row>
    <row r="533" spans="2:5" x14ac:dyDescent="0.2">
      <c r="B533" s="1">
        <v>493</v>
      </c>
      <c r="C533" s="1" t="s">
        <v>243</v>
      </c>
      <c r="D533" s="1">
        <v>0</v>
      </c>
      <c r="E533" s="1">
        <v>0</v>
      </c>
    </row>
    <row r="534" spans="2:5" x14ac:dyDescent="0.2">
      <c r="B534" s="1">
        <v>494</v>
      </c>
      <c r="C534" s="1" t="s">
        <v>919</v>
      </c>
      <c r="D534" s="1">
        <v>0</v>
      </c>
      <c r="E534" s="1">
        <v>0</v>
      </c>
    </row>
    <row r="535" spans="2:5" x14ac:dyDescent="0.2">
      <c r="B535" s="1">
        <v>495</v>
      </c>
      <c r="C535" s="1" t="s">
        <v>920</v>
      </c>
      <c r="D535" s="1">
        <v>0</v>
      </c>
      <c r="E535" s="1">
        <v>0</v>
      </c>
    </row>
    <row r="536" spans="2:5" x14ac:dyDescent="0.2">
      <c r="B536" s="1">
        <v>496</v>
      </c>
      <c r="C536" s="1" t="s">
        <v>921</v>
      </c>
      <c r="D536" s="1">
        <v>0</v>
      </c>
      <c r="E536" s="1">
        <v>0</v>
      </c>
    </row>
    <row r="537" spans="2:5" x14ac:dyDescent="0.2">
      <c r="B537" s="1">
        <v>497</v>
      </c>
      <c r="C537" s="1" t="s">
        <v>922</v>
      </c>
      <c r="D537" s="1">
        <v>0</v>
      </c>
      <c r="E537" s="1">
        <v>0</v>
      </c>
    </row>
    <row r="538" spans="2:5" x14ac:dyDescent="0.2">
      <c r="B538" s="1">
        <v>498</v>
      </c>
      <c r="C538" s="1" t="s">
        <v>923</v>
      </c>
      <c r="D538" s="1">
        <v>0</v>
      </c>
      <c r="E538" s="1">
        <v>0</v>
      </c>
    </row>
    <row r="539" spans="2:5" x14ac:dyDescent="0.2">
      <c r="B539" s="1">
        <v>499</v>
      </c>
      <c r="C539" s="1" t="s">
        <v>924</v>
      </c>
      <c r="D539" s="1">
        <v>0</v>
      </c>
      <c r="E539" s="1">
        <v>0</v>
      </c>
    </row>
    <row r="540" spans="2:5" x14ac:dyDescent="0.2">
      <c r="B540" s="1">
        <v>500</v>
      </c>
      <c r="C540" s="1" t="s">
        <v>925</v>
      </c>
      <c r="D540" s="1">
        <v>0</v>
      </c>
      <c r="E540" s="1">
        <v>0</v>
      </c>
    </row>
    <row r="541" spans="2:5" x14ac:dyDescent="0.2">
      <c r="B541" s="1">
        <v>501</v>
      </c>
      <c r="C541" s="1" t="s">
        <v>232</v>
      </c>
      <c r="D541" s="1">
        <v>0</v>
      </c>
      <c r="E541" s="1">
        <v>0</v>
      </c>
    </row>
    <row r="542" spans="2:5" x14ac:dyDescent="0.2">
      <c r="B542" s="1">
        <v>502</v>
      </c>
      <c r="C542" s="1" t="s">
        <v>926</v>
      </c>
      <c r="D542" s="1">
        <v>0</v>
      </c>
      <c r="E542" s="1">
        <v>0</v>
      </c>
    </row>
    <row r="543" spans="2:5" x14ac:dyDescent="0.2">
      <c r="B543" s="1">
        <v>503</v>
      </c>
      <c r="C543" s="1" t="s">
        <v>927</v>
      </c>
      <c r="D543" s="1">
        <v>0</v>
      </c>
      <c r="E543" s="1">
        <v>0</v>
      </c>
    </row>
    <row r="544" spans="2:5" x14ac:dyDescent="0.2">
      <c r="B544" s="1">
        <v>504</v>
      </c>
      <c r="C544" s="1" t="s">
        <v>928</v>
      </c>
      <c r="D544" s="1">
        <v>0</v>
      </c>
      <c r="E544" s="1">
        <v>0</v>
      </c>
    </row>
    <row r="545" spans="2:5" x14ac:dyDescent="0.2">
      <c r="B545" s="1">
        <v>505</v>
      </c>
      <c r="C545" s="1" t="s">
        <v>929</v>
      </c>
      <c r="D545" s="1">
        <v>0</v>
      </c>
      <c r="E545" s="1">
        <v>0</v>
      </c>
    </row>
    <row r="546" spans="2:5" x14ac:dyDescent="0.2">
      <c r="B546" s="1">
        <v>506</v>
      </c>
      <c r="C546" s="1" t="s">
        <v>930</v>
      </c>
      <c r="D546" s="1">
        <v>0</v>
      </c>
      <c r="E546" s="1">
        <v>0</v>
      </c>
    </row>
    <row r="547" spans="2:5" x14ac:dyDescent="0.2">
      <c r="B547" s="1">
        <v>507</v>
      </c>
      <c r="C547" s="1" t="s">
        <v>239</v>
      </c>
      <c r="D547" s="1">
        <v>0</v>
      </c>
      <c r="E547" s="1">
        <v>0</v>
      </c>
    </row>
    <row r="548" spans="2:5" x14ac:dyDescent="0.2">
      <c r="B548" s="1">
        <v>508</v>
      </c>
      <c r="C548" s="1" t="s">
        <v>931</v>
      </c>
      <c r="D548" s="1">
        <v>0</v>
      </c>
      <c r="E548" s="1">
        <v>0</v>
      </c>
    </row>
    <row r="549" spans="2:5" x14ac:dyDescent="0.2">
      <c r="B549" s="1">
        <v>509</v>
      </c>
      <c r="C549" s="1" t="s">
        <v>932</v>
      </c>
      <c r="D549" s="1">
        <v>0</v>
      </c>
      <c r="E549" s="1">
        <v>0</v>
      </c>
    </row>
    <row r="550" spans="2:5" x14ac:dyDescent="0.2">
      <c r="B550" s="1">
        <v>510</v>
      </c>
      <c r="C550" s="1" t="s">
        <v>933</v>
      </c>
      <c r="D550" s="1">
        <v>0</v>
      </c>
      <c r="E550" s="1">
        <v>0</v>
      </c>
    </row>
    <row r="551" spans="2:5" x14ac:dyDescent="0.2">
      <c r="B551" s="1">
        <v>511</v>
      </c>
      <c r="C551" s="1" t="s">
        <v>934</v>
      </c>
      <c r="D551" s="1">
        <v>0</v>
      </c>
      <c r="E551" s="1">
        <v>0</v>
      </c>
    </row>
    <row r="552" spans="2:5" x14ac:dyDescent="0.2">
      <c r="B552" s="1">
        <v>512</v>
      </c>
      <c r="C552" s="1" t="s">
        <v>935</v>
      </c>
      <c r="D552" s="1">
        <v>0</v>
      </c>
      <c r="E552" s="1">
        <v>0</v>
      </c>
    </row>
    <row r="553" spans="2:5" x14ac:dyDescent="0.2">
      <c r="B553" s="1">
        <v>513</v>
      </c>
      <c r="C553" s="1" t="s">
        <v>162</v>
      </c>
      <c r="D553" s="1">
        <v>0</v>
      </c>
      <c r="E553" s="1">
        <v>0</v>
      </c>
    </row>
    <row r="554" spans="2:5" x14ac:dyDescent="0.2">
      <c r="B554" s="1">
        <v>514</v>
      </c>
      <c r="C554" s="1" t="s">
        <v>936</v>
      </c>
      <c r="D554" s="1">
        <v>0</v>
      </c>
      <c r="E554" s="1">
        <v>0</v>
      </c>
    </row>
    <row r="555" spans="2:5" x14ac:dyDescent="0.2">
      <c r="B555" s="1">
        <v>515</v>
      </c>
      <c r="C555" s="1" t="s">
        <v>937</v>
      </c>
      <c r="D555" s="1">
        <v>0</v>
      </c>
      <c r="E555" s="1">
        <v>0</v>
      </c>
    </row>
    <row r="556" spans="2:5" x14ac:dyDescent="0.2">
      <c r="B556" s="1">
        <v>516</v>
      </c>
      <c r="C556" s="1" t="s">
        <v>938</v>
      </c>
      <c r="D556" s="1">
        <v>0</v>
      </c>
      <c r="E556" s="1">
        <v>0</v>
      </c>
    </row>
    <row r="557" spans="2:5" x14ac:dyDescent="0.2">
      <c r="B557" s="1">
        <v>517</v>
      </c>
      <c r="C557" s="1" t="s">
        <v>939</v>
      </c>
      <c r="D557" s="1">
        <v>0</v>
      </c>
      <c r="E557" s="1">
        <v>0</v>
      </c>
    </row>
    <row r="558" spans="2:5" x14ac:dyDescent="0.2">
      <c r="B558" s="1">
        <v>518</v>
      </c>
      <c r="C558" s="1" t="s">
        <v>940</v>
      </c>
      <c r="D558" s="1">
        <v>0</v>
      </c>
      <c r="E558" s="1">
        <v>0</v>
      </c>
    </row>
    <row r="559" spans="2:5" x14ac:dyDescent="0.2">
      <c r="B559" s="1">
        <v>519</v>
      </c>
      <c r="C559" s="1" t="s">
        <v>941</v>
      </c>
      <c r="D559" s="1">
        <v>0</v>
      </c>
      <c r="E559" s="1">
        <v>0</v>
      </c>
    </row>
    <row r="560" spans="2:5" x14ac:dyDescent="0.2">
      <c r="B560" s="1">
        <v>520</v>
      </c>
      <c r="C560" s="1" t="s">
        <v>264</v>
      </c>
      <c r="D560" s="1">
        <v>0</v>
      </c>
      <c r="E560" s="1">
        <v>0</v>
      </c>
    </row>
    <row r="561" spans="2:5" x14ac:dyDescent="0.2">
      <c r="B561" s="1">
        <v>521</v>
      </c>
      <c r="C561" s="1" t="s">
        <v>942</v>
      </c>
      <c r="D561" s="1">
        <v>0</v>
      </c>
      <c r="E561" s="1">
        <v>0</v>
      </c>
    </row>
    <row r="562" spans="2:5" x14ac:dyDescent="0.2">
      <c r="B562" s="1">
        <v>522</v>
      </c>
      <c r="C562" s="1" t="s">
        <v>230</v>
      </c>
      <c r="D562" s="1">
        <v>0</v>
      </c>
      <c r="E562" s="1">
        <v>0</v>
      </c>
    </row>
    <row r="563" spans="2:5" x14ac:dyDescent="0.2">
      <c r="B563" s="1">
        <v>523</v>
      </c>
      <c r="C563" s="1" t="s">
        <v>943</v>
      </c>
      <c r="D563" s="1">
        <v>0</v>
      </c>
      <c r="E563" s="1">
        <v>0</v>
      </c>
    </row>
    <row r="564" spans="2:5" x14ac:dyDescent="0.2">
      <c r="B564" s="1">
        <v>524</v>
      </c>
      <c r="C564" s="1" t="s">
        <v>944</v>
      </c>
      <c r="D564" s="1">
        <v>0</v>
      </c>
      <c r="E564" s="1">
        <v>0</v>
      </c>
    </row>
    <row r="565" spans="2:5" x14ac:dyDescent="0.2">
      <c r="B565" s="1">
        <v>525</v>
      </c>
      <c r="C565" s="1" t="s">
        <v>197</v>
      </c>
      <c r="D565" s="1">
        <v>0</v>
      </c>
      <c r="E565" s="1">
        <v>0</v>
      </c>
    </row>
    <row r="566" spans="2:5" x14ac:dyDescent="0.2">
      <c r="B566" s="1">
        <v>526</v>
      </c>
      <c r="C566" s="1" t="s">
        <v>203</v>
      </c>
      <c r="D566" s="1">
        <v>0</v>
      </c>
      <c r="E566" s="1">
        <v>0</v>
      </c>
    </row>
    <row r="567" spans="2:5" x14ac:dyDescent="0.2">
      <c r="B567" s="1">
        <v>527</v>
      </c>
      <c r="C567" s="1" t="s">
        <v>945</v>
      </c>
      <c r="D567" s="1">
        <v>0</v>
      </c>
      <c r="E567" s="1">
        <v>0</v>
      </c>
    </row>
    <row r="568" spans="2:5" x14ac:dyDescent="0.2">
      <c r="B568" s="1">
        <v>528</v>
      </c>
      <c r="C568" s="1" t="s">
        <v>946</v>
      </c>
      <c r="D568" s="1">
        <v>0</v>
      </c>
      <c r="E568" s="1">
        <v>0</v>
      </c>
    </row>
    <row r="569" spans="2:5" x14ac:dyDescent="0.2">
      <c r="B569" s="1">
        <v>529</v>
      </c>
      <c r="C569" s="1" t="s">
        <v>172</v>
      </c>
      <c r="D569" s="1">
        <v>0</v>
      </c>
      <c r="E569" s="1">
        <v>0</v>
      </c>
    </row>
    <row r="570" spans="2:5" x14ac:dyDescent="0.2">
      <c r="B570" s="1">
        <v>530</v>
      </c>
      <c r="C570" s="1" t="s">
        <v>223</v>
      </c>
      <c r="D570" s="1">
        <v>0</v>
      </c>
      <c r="E570" s="1">
        <v>0</v>
      </c>
    </row>
    <row r="571" spans="2:5" x14ac:dyDescent="0.2">
      <c r="B571" s="1">
        <v>531</v>
      </c>
      <c r="C571" s="1" t="s">
        <v>947</v>
      </c>
      <c r="D571" s="1">
        <v>0</v>
      </c>
      <c r="E571" s="1">
        <v>0</v>
      </c>
    </row>
    <row r="572" spans="2:5" x14ac:dyDescent="0.2">
      <c r="B572" s="1">
        <v>532</v>
      </c>
      <c r="C572" s="1" t="s">
        <v>948</v>
      </c>
      <c r="D572" s="1">
        <v>0</v>
      </c>
      <c r="E572" s="1">
        <v>0</v>
      </c>
    </row>
    <row r="573" spans="2:5" x14ac:dyDescent="0.2">
      <c r="B573" s="1">
        <v>533</v>
      </c>
      <c r="C573" s="1" t="s">
        <v>949</v>
      </c>
      <c r="D573" s="1">
        <v>0</v>
      </c>
      <c r="E573" s="1">
        <v>0</v>
      </c>
    </row>
    <row r="574" spans="2:5" x14ac:dyDescent="0.2">
      <c r="B574" s="1">
        <v>534</v>
      </c>
      <c r="C574" s="1" t="s">
        <v>188</v>
      </c>
      <c r="D574" s="1">
        <v>0</v>
      </c>
      <c r="E574" s="1">
        <v>0</v>
      </c>
    </row>
    <row r="575" spans="2:5" x14ac:dyDescent="0.2">
      <c r="B575" s="1">
        <v>535</v>
      </c>
      <c r="C575" s="1" t="s">
        <v>273</v>
      </c>
      <c r="D575" s="1">
        <v>0</v>
      </c>
      <c r="E575" s="1">
        <v>0</v>
      </c>
    </row>
    <row r="576" spans="2:5" x14ac:dyDescent="0.2">
      <c r="B576" s="1">
        <v>536</v>
      </c>
      <c r="C576" s="1" t="s">
        <v>262</v>
      </c>
      <c r="D576" s="1">
        <v>0</v>
      </c>
      <c r="E576" s="1">
        <v>0</v>
      </c>
    </row>
    <row r="577" spans="2:5" x14ac:dyDescent="0.2">
      <c r="B577" s="1">
        <v>537</v>
      </c>
      <c r="C577" s="1" t="s">
        <v>950</v>
      </c>
      <c r="D577" s="1">
        <v>0</v>
      </c>
      <c r="E577" s="1">
        <v>0</v>
      </c>
    </row>
    <row r="578" spans="2:5" x14ac:dyDescent="0.2">
      <c r="B578" s="1">
        <v>538</v>
      </c>
      <c r="C578" s="1" t="s">
        <v>951</v>
      </c>
      <c r="D578" s="1">
        <v>0</v>
      </c>
      <c r="E578" s="1">
        <v>0</v>
      </c>
    </row>
    <row r="579" spans="2:5" x14ac:dyDescent="0.2">
      <c r="B579" s="1">
        <v>539</v>
      </c>
      <c r="C579" s="1" t="s">
        <v>952</v>
      </c>
      <c r="D579" s="1">
        <v>0</v>
      </c>
      <c r="E579" s="1">
        <v>0</v>
      </c>
    </row>
    <row r="580" spans="2:5" x14ac:dyDescent="0.2">
      <c r="B580" s="1">
        <v>540</v>
      </c>
      <c r="C580" s="1" t="s">
        <v>160</v>
      </c>
      <c r="D580" s="1">
        <v>0</v>
      </c>
      <c r="E580" s="1">
        <v>0</v>
      </c>
    </row>
    <row r="581" spans="2:5" x14ac:dyDescent="0.2">
      <c r="B581" s="1">
        <v>541</v>
      </c>
      <c r="C581" s="1" t="s">
        <v>953</v>
      </c>
      <c r="D581" s="1">
        <v>0</v>
      </c>
      <c r="E581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Kraken"/>
  <dimension ref="A2:F39"/>
  <sheetViews>
    <sheetView zoomScaleNormal="100" workbookViewId="0">
      <selection activeCell="C6" sqref="C6"/>
    </sheetView>
  </sheetViews>
  <sheetFormatPr defaultRowHeight="11.4" x14ac:dyDescent="0.2"/>
  <cols>
    <col min="1" max="1" width="2.44140625" style="1" customWidth="1"/>
    <col min="2" max="2" width="20.109375" style="1" customWidth="1"/>
    <col min="3" max="3" width="98.6640625" style="1" bestFit="1" customWidth="1"/>
    <col min="4" max="4" width="28.109375" style="1" bestFit="1" customWidth="1"/>
    <col min="5" max="5" width="25.77734375" style="1" bestFit="1" customWidth="1"/>
    <col min="6" max="6" width="11.33203125" style="1" bestFit="1" customWidth="1"/>
    <col min="7" max="7" width="7.5546875" style="1" bestFit="1" customWidth="1"/>
    <col min="8" max="8" width="8.5546875" style="1" bestFit="1" customWidth="1"/>
    <col min="9" max="9" width="8" style="1" bestFit="1" customWidth="1"/>
    <col min="10" max="10" width="12.44140625" style="1" bestFit="1" customWidth="1"/>
    <col min="11" max="11" width="6.21875" style="1" bestFit="1" customWidth="1"/>
    <col min="12" max="12" width="12.44140625" style="1" bestFit="1" customWidth="1"/>
    <col min="13" max="13" width="9.5546875" style="1" bestFit="1" customWidth="1"/>
    <col min="14" max="16384" width="8.88671875" style="1"/>
  </cols>
  <sheetData>
    <row r="2" spans="1:6" s="35" customFormat="1" ht="17.399999999999999" x14ac:dyDescent="0.3">
      <c r="B2" s="18" t="s">
        <v>959</v>
      </c>
    </row>
    <row r="3" spans="1:6" x14ac:dyDescent="0.2">
      <c r="B3" s="16" t="s">
        <v>960</v>
      </c>
    </row>
    <row r="4" spans="1:6" x14ac:dyDescent="0.2">
      <c r="B4" s="1" t="s">
        <v>142</v>
      </c>
    </row>
    <row r="6" spans="1:6" x14ac:dyDescent="0.2">
      <c r="B6" s="4" t="s">
        <v>0</v>
      </c>
      <c r="C6" s="19" t="s">
        <v>1240</v>
      </c>
    </row>
    <row r="7" spans="1:6" x14ac:dyDescent="0.2">
      <c r="B7" s="4" t="s">
        <v>5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957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 t="s">
        <v>19</v>
      </c>
      <c r="E18" s="1">
        <v>0</v>
      </c>
      <c r="F18" s="32" t="s">
        <v>20</v>
      </c>
    </row>
    <row r="19" spans="1:6" x14ac:dyDescent="0.2">
      <c r="B19" s="31">
        <v>1</v>
      </c>
      <c r="C19" s="1" t="s">
        <v>18</v>
      </c>
      <c r="D19" s="1" t="s">
        <v>4</v>
      </c>
      <c r="E19" s="1">
        <v>2</v>
      </c>
      <c r="F19" s="32" t="s">
        <v>20</v>
      </c>
    </row>
    <row r="20" spans="1:6" x14ac:dyDescent="0.2">
      <c r="B20" s="31">
        <v>2</v>
      </c>
      <c r="C20" s="1" t="s">
        <v>4</v>
      </c>
      <c r="D20" s="1" t="s">
        <v>2</v>
      </c>
      <c r="E20" s="1">
        <v>1554717010</v>
      </c>
      <c r="F20" s="32" t="s">
        <v>21</v>
      </c>
    </row>
    <row r="21" spans="1:6" ht="12" thickBot="1" x14ac:dyDescent="0.25">
      <c r="B21" s="20">
        <v>2</v>
      </c>
      <c r="C21" s="21" t="s">
        <v>4</v>
      </c>
      <c r="D21" s="21" t="s">
        <v>3</v>
      </c>
      <c r="E21" s="21" t="s">
        <v>958</v>
      </c>
      <c r="F21" s="23" t="s">
        <v>21</v>
      </c>
    </row>
    <row r="24" spans="1:6" x14ac:dyDescent="0.2">
      <c r="A24" s="4" t="s">
        <v>144</v>
      </c>
    </row>
    <row r="25" spans="1:6" ht="12" thickBot="1" x14ac:dyDescent="0.25">
      <c r="B25" s="2" t="s">
        <v>23</v>
      </c>
      <c r="C25" s="3"/>
      <c r="D25" s="3"/>
    </row>
    <row r="26" spans="1:6" x14ac:dyDescent="0.2">
      <c r="B26" s="37" t="s">
        <v>1</v>
      </c>
      <c r="C26" s="38" t="s">
        <v>2</v>
      </c>
      <c r="D26" s="39" t="s">
        <v>3</v>
      </c>
    </row>
    <row r="27" spans="1:6" ht="12" thickBot="1" x14ac:dyDescent="0.25">
      <c r="B27" s="20" t="s">
        <v>4</v>
      </c>
      <c r="C27" s="21">
        <v>1554717010</v>
      </c>
      <c r="D27" s="23" t="s">
        <v>958</v>
      </c>
    </row>
    <row r="29" spans="1:6" x14ac:dyDescent="0.2">
      <c r="A29" s="4" t="s">
        <v>145</v>
      </c>
    </row>
    <row r="31" spans="1:6" x14ac:dyDescent="0.2">
      <c r="B31" s="2" t="s">
        <v>311</v>
      </c>
      <c r="C31" s="2"/>
      <c r="D31" s="2"/>
    </row>
    <row r="32" spans="1:6" x14ac:dyDescent="0.2">
      <c r="B32" s="1" t="s">
        <v>1</v>
      </c>
      <c r="C32" s="1" t="s">
        <v>4</v>
      </c>
    </row>
    <row r="33" spans="2:3" x14ac:dyDescent="0.2">
      <c r="B33" s="1" t="s">
        <v>98</v>
      </c>
      <c r="C33" s="43">
        <v>8.7880000000000003</v>
      </c>
    </row>
    <row r="34" spans="2:3" x14ac:dyDescent="0.2">
      <c r="B34" s="1" t="s">
        <v>99</v>
      </c>
      <c r="C34" s="43">
        <v>6.6150000000000002E-6</v>
      </c>
    </row>
    <row r="35" spans="2:3" x14ac:dyDescent="0.2">
      <c r="B35" s="1" t="s">
        <v>954</v>
      </c>
      <c r="C35" s="43">
        <v>4.0699300000000002E-3</v>
      </c>
    </row>
    <row r="36" spans="2:3" x14ac:dyDescent="0.2">
      <c r="B36" s="1" t="s">
        <v>955</v>
      </c>
      <c r="C36" s="43">
        <v>3.5999999999999999E-7</v>
      </c>
    </row>
    <row r="37" spans="2:3" x14ac:dyDescent="0.2">
      <c r="B37" s="1" t="s">
        <v>956</v>
      </c>
      <c r="C37" s="43">
        <v>2.92E-6</v>
      </c>
    </row>
    <row r="38" spans="2:3" x14ac:dyDescent="0.2">
      <c r="B38" s="1" t="s">
        <v>150</v>
      </c>
      <c r="C38" s="43">
        <v>2</v>
      </c>
    </row>
    <row r="39" spans="2:3" x14ac:dyDescent="0.2">
      <c r="B39" s="1" t="s">
        <v>373</v>
      </c>
      <c r="C39" s="43"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57D3-57E5-4ACD-B7E9-C7094A2D9CA5}">
  <sheetPr codeName="ShtKucoin"/>
  <dimension ref="A2:M61"/>
  <sheetViews>
    <sheetView zoomScaleNormal="100" workbookViewId="0">
      <selection activeCell="C8" sqref="C8"/>
    </sheetView>
  </sheetViews>
  <sheetFormatPr defaultRowHeight="11.4" x14ac:dyDescent="0.2"/>
  <cols>
    <col min="1" max="1" width="8.88671875" style="1"/>
    <col min="2" max="2" width="19.21875" style="1" customWidth="1"/>
    <col min="3" max="3" width="18.21875" style="1" bestFit="1" customWidth="1"/>
    <col min="4" max="4" width="13" style="1" customWidth="1"/>
    <col min="5" max="5" width="16.109375" style="1" customWidth="1"/>
    <col min="6" max="6" width="12.44140625" style="1" customWidth="1"/>
    <col min="7" max="7" width="14.5546875" style="1" customWidth="1"/>
    <col min="8" max="8" width="26.21875" style="1" bestFit="1" customWidth="1"/>
    <col min="9" max="9" width="16.88671875" style="1" customWidth="1"/>
    <col min="10" max="12" width="20.6640625" style="1" customWidth="1"/>
    <col min="13" max="16384" width="8.88671875" style="1"/>
  </cols>
  <sheetData>
    <row r="2" spans="1:6" s="35" customFormat="1" ht="17.399999999999999" x14ac:dyDescent="0.3">
      <c r="B2" s="18" t="s">
        <v>961</v>
      </c>
    </row>
    <row r="3" spans="1:6" x14ac:dyDescent="0.2">
      <c r="B3" s="16" t="s">
        <v>962</v>
      </c>
    </row>
    <row r="4" spans="1:6" x14ac:dyDescent="0.2">
      <c r="B4" s="1" t="s">
        <v>142</v>
      </c>
    </row>
    <row r="6" spans="1:6" x14ac:dyDescent="0.2">
      <c r="B6" s="4" t="s">
        <v>70</v>
      </c>
      <c r="C6" s="19" t="s">
        <v>1240</v>
      </c>
    </row>
    <row r="7" spans="1:6" x14ac:dyDescent="0.2">
      <c r="B7" s="4" t="s">
        <v>71</v>
      </c>
      <c r="C7" s="19" t="s">
        <v>1240</v>
      </c>
    </row>
    <row r="8" spans="1:6" x14ac:dyDescent="0.2">
      <c r="B8" s="4" t="s">
        <v>110</v>
      </c>
      <c r="C8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990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93</v>
      </c>
      <c r="E18" s="1">
        <v>200000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94</v>
      </c>
      <c r="E19" s="1">
        <v>11</v>
      </c>
      <c r="F19" s="32" t="s">
        <v>20</v>
      </c>
    </row>
    <row r="20" spans="2:6" x14ac:dyDescent="0.2">
      <c r="B20" s="31">
        <v>2</v>
      </c>
      <c r="C20" s="1" t="s">
        <v>94</v>
      </c>
      <c r="D20" s="1" t="s">
        <v>96</v>
      </c>
      <c r="E20" s="1" t="s">
        <v>963</v>
      </c>
      <c r="F20" s="32" t="s">
        <v>21</v>
      </c>
    </row>
    <row r="21" spans="2:6" x14ac:dyDescent="0.2">
      <c r="B21" s="31">
        <v>2</v>
      </c>
      <c r="C21" s="1" t="s">
        <v>94</v>
      </c>
      <c r="D21" s="1" t="s">
        <v>24</v>
      </c>
      <c r="E21" s="1">
        <v>2.8714000000000002E-4</v>
      </c>
      <c r="F21" s="32" t="s">
        <v>21</v>
      </c>
    </row>
    <row r="22" spans="2:6" x14ac:dyDescent="0.2">
      <c r="B22" s="31">
        <v>2</v>
      </c>
      <c r="C22" s="1" t="s">
        <v>94</v>
      </c>
      <c r="D22" s="1" t="s">
        <v>26</v>
      </c>
      <c r="E22" s="1">
        <v>818512.84102966997</v>
      </c>
      <c r="F22" s="32" t="s">
        <v>21</v>
      </c>
    </row>
    <row r="23" spans="2:6" x14ac:dyDescent="0.2">
      <c r="B23" s="31">
        <v>2</v>
      </c>
      <c r="C23" s="1" t="s">
        <v>94</v>
      </c>
      <c r="D23" s="1" t="s">
        <v>27</v>
      </c>
      <c r="E23" s="1">
        <v>2.6741999999999998E-4</v>
      </c>
      <c r="F23" s="32" t="s">
        <v>21</v>
      </c>
    </row>
    <row r="24" spans="2:6" x14ac:dyDescent="0.2">
      <c r="B24" s="31">
        <v>2</v>
      </c>
      <c r="C24" s="1" t="s">
        <v>94</v>
      </c>
      <c r="D24" s="1" t="s">
        <v>25</v>
      </c>
      <c r="E24" s="1">
        <v>2.6071999999999998E-4</v>
      </c>
      <c r="F24" s="32" t="s">
        <v>21</v>
      </c>
    </row>
    <row r="25" spans="2:6" x14ac:dyDescent="0.2">
      <c r="B25" s="31">
        <v>2</v>
      </c>
      <c r="C25" s="1" t="s">
        <v>94</v>
      </c>
      <c r="D25" s="1" t="s">
        <v>28</v>
      </c>
      <c r="E25" s="1">
        <v>2.6693000000000002E-4</v>
      </c>
      <c r="F25" s="32" t="s">
        <v>21</v>
      </c>
    </row>
    <row r="26" spans="2:6" x14ac:dyDescent="0.2">
      <c r="B26" s="31">
        <v>2</v>
      </c>
      <c r="C26" s="1" t="s">
        <v>94</v>
      </c>
      <c r="D26" s="1" t="s">
        <v>29</v>
      </c>
      <c r="E26" s="1">
        <v>2.6802E-4</v>
      </c>
      <c r="F26" s="32" t="s">
        <v>21</v>
      </c>
    </row>
    <row r="27" spans="2:6" x14ac:dyDescent="0.2">
      <c r="B27" s="31">
        <v>2</v>
      </c>
      <c r="C27" s="1" t="s">
        <v>94</v>
      </c>
      <c r="D27" s="1" t="s">
        <v>111</v>
      </c>
      <c r="E27" s="1">
        <v>-1.8369999999999999E-5</v>
      </c>
      <c r="F27" s="32" t="s">
        <v>21</v>
      </c>
    </row>
    <row r="28" spans="2:6" x14ac:dyDescent="0.2">
      <c r="B28" s="31">
        <v>2</v>
      </c>
      <c r="C28" s="1" t="s">
        <v>94</v>
      </c>
      <c r="D28" s="1" t="s">
        <v>8</v>
      </c>
      <c r="E28" s="45">
        <v>1554717756505</v>
      </c>
      <c r="F28" s="32" t="s">
        <v>21</v>
      </c>
    </row>
    <row r="29" spans="2:6" x14ac:dyDescent="0.2">
      <c r="B29" s="31">
        <v>2</v>
      </c>
      <c r="C29" s="1" t="s">
        <v>94</v>
      </c>
      <c r="D29" s="1" t="s">
        <v>97</v>
      </c>
      <c r="E29" s="1">
        <v>-6.4199999999999993E-2</v>
      </c>
      <c r="F29" s="32" t="s">
        <v>21</v>
      </c>
    </row>
    <row r="30" spans="2:6" ht="12" thickBot="1" x14ac:dyDescent="0.25">
      <c r="B30" s="20">
        <v>2</v>
      </c>
      <c r="C30" s="21" t="s">
        <v>94</v>
      </c>
      <c r="D30" s="21" t="s">
        <v>964</v>
      </c>
      <c r="E30" s="21">
        <v>222.97566095675299</v>
      </c>
      <c r="F30" s="23" t="s">
        <v>21</v>
      </c>
    </row>
    <row r="33" spans="1:13" x14ac:dyDescent="0.2">
      <c r="A33" s="4" t="s">
        <v>144</v>
      </c>
    </row>
    <row r="34" spans="1:13" ht="12" thickBot="1" x14ac:dyDescent="0.25">
      <c r="B34" s="2" t="s">
        <v>23</v>
      </c>
      <c r="C34" s="3"/>
      <c r="D34" s="3"/>
    </row>
    <row r="35" spans="1:13" x14ac:dyDescent="0.2">
      <c r="B35" s="25" t="s">
        <v>1</v>
      </c>
      <c r="C35" s="29" t="s">
        <v>96</v>
      </c>
      <c r="D35" s="29" t="s">
        <v>24</v>
      </c>
      <c r="E35" s="29" t="s">
        <v>26</v>
      </c>
      <c r="F35" s="29" t="s">
        <v>27</v>
      </c>
      <c r="G35" s="29" t="s">
        <v>25</v>
      </c>
      <c r="H35" s="29" t="s">
        <v>28</v>
      </c>
      <c r="I35" s="29" t="s">
        <v>29</v>
      </c>
      <c r="J35" s="29" t="s">
        <v>111</v>
      </c>
      <c r="K35" s="29" t="s">
        <v>8</v>
      </c>
      <c r="L35" s="29" t="s">
        <v>97</v>
      </c>
      <c r="M35" s="26" t="s">
        <v>964</v>
      </c>
    </row>
    <row r="36" spans="1:13" ht="12" thickBot="1" x14ac:dyDescent="0.25">
      <c r="B36" s="20" t="s">
        <v>94</v>
      </c>
      <c r="C36" s="21" t="s">
        <v>963</v>
      </c>
      <c r="D36" s="44">
        <v>2.8714000000000002E-4</v>
      </c>
      <c r="E36" s="44">
        <v>818512.84102966997</v>
      </c>
      <c r="F36" s="21">
        <v>2.6741999999999998E-4</v>
      </c>
      <c r="G36" s="21">
        <v>2.6071999999999998E-4</v>
      </c>
      <c r="H36" s="21">
        <v>2.6693000000000002E-4</v>
      </c>
      <c r="I36" s="21">
        <v>2.6802E-4</v>
      </c>
      <c r="J36" s="21">
        <v>-1.8369999999999999E-5</v>
      </c>
      <c r="K36" s="22">
        <v>1554717756505</v>
      </c>
      <c r="L36" s="21">
        <v>-6.4199999999999993E-2</v>
      </c>
      <c r="M36" s="23">
        <v>222.97566095675299</v>
      </c>
    </row>
    <row r="40" spans="1:13" x14ac:dyDescent="0.2">
      <c r="A40" s="4" t="s">
        <v>145</v>
      </c>
    </row>
    <row r="42" spans="1:13" x14ac:dyDescent="0.2">
      <c r="B42" s="2" t="s">
        <v>311</v>
      </c>
      <c r="C42" s="2"/>
      <c r="D42" s="2"/>
    </row>
    <row r="43" spans="1:13" x14ac:dyDescent="0.2">
      <c r="B43" s="1" t="s">
        <v>1</v>
      </c>
      <c r="C43" s="1" t="s">
        <v>6</v>
      </c>
      <c r="D43" s="1" t="s">
        <v>12</v>
      </c>
      <c r="E43" s="1" t="s">
        <v>318</v>
      </c>
      <c r="F43" s="1" t="s">
        <v>965</v>
      </c>
      <c r="G43" s="1" t="s">
        <v>317</v>
      </c>
      <c r="H43" s="1" t="s">
        <v>443</v>
      </c>
      <c r="I43" s="1" t="s">
        <v>9</v>
      </c>
    </row>
    <row r="44" spans="1:13" x14ac:dyDescent="0.2">
      <c r="B44" s="1" t="s">
        <v>94</v>
      </c>
      <c r="C44" s="1">
        <v>1</v>
      </c>
      <c r="D44" s="1">
        <v>2</v>
      </c>
      <c r="E44" s="1">
        <v>2</v>
      </c>
      <c r="F44" s="1">
        <v>0</v>
      </c>
      <c r="G44" s="1" t="s">
        <v>95</v>
      </c>
      <c r="H44" s="1" t="s">
        <v>991</v>
      </c>
      <c r="I44" s="1" t="s">
        <v>69</v>
      </c>
    </row>
    <row r="45" spans="1:13" x14ac:dyDescent="0.2">
      <c r="B45" s="1" t="s">
        <v>94</v>
      </c>
      <c r="C45" s="1">
        <v>166</v>
      </c>
      <c r="D45" s="1">
        <v>3.3015040000000002E-2</v>
      </c>
      <c r="E45" s="1">
        <v>3.3015040000000002E-2</v>
      </c>
      <c r="F45" s="1">
        <v>0</v>
      </c>
      <c r="G45" s="1" t="s">
        <v>968</v>
      </c>
      <c r="H45" s="1" t="s">
        <v>973</v>
      </c>
      <c r="I45" s="1" t="s">
        <v>69</v>
      </c>
    </row>
    <row r="46" spans="1:13" x14ac:dyDescent="0.2">
      <c r="B46" s="1" t="s">
        <v>94</v>
      </c>
      <c r="C46" s="1">
        <v>167</v>
      </c>
      <c r="D46" s="1">
        <v>3.2349820000000001E-2</v>
      </c>
      <c r="E46" s="1">
        <v>3.2349820000000001E-2</v>
      </c>
      <c r="F46" s="1">
        <v>0</v>
      </c>
      <c r="G46" s="1" t="s">
        <v>217</v>
      </c>
      <c r="H46" s="1" t="s">
        <v>974</v>
      </c>
      <c r="I46" s="1" t="s">
        <v>69</v>
      </c>
    </row>
    <row r="47" spans="1:13" x14ac:dyDescent="0.2">
      <c r="B47" s="1" t="s">
        <v>94</v>
      </c>
      <c r="C47" s="1">
        <v>168</v>
      </c>
      <c r="D47" s="1">
        <v>2.472417E-2</v>
      </c>
      <c r="E47" s="1">
        <v>2.472417E-2</v>
      </c>
      <c r="F47" s="1">
        <v>0</v>
      </c>
      <c r="G47" s="1" t="s">
        <v>969</v>
      </c>
      <c r="H47" s="1" t="s">
        <v>975</v>
      </c>
      <c r="I47" s="1" t="s">
        <v>69</v>
      </c>
    </row>
    <row r="48" spans="1:13" x14ac:dyDescent="0.2">
      <c r="B48" s="1" t="s">
        <v>94</v>
      </c>
      <c r="C48" s="1">
        <v>169</v>
      </c>
      <c r="D48" s="1">
        <v>2.325758E-2</v>
      </c>
      <c r="E48" s="1">
        <v>2.325758E-2</v>
      </c>
      <c r="F48" s="1">
        <v>0</v>
      </c>
      <c r="G48" s="1" t="s">
        <v>875</v>
      </c>
      <c r="H48" s="1" t="s">
        <v>976</v>
      </c>
      <c r="I48" s="1" t="s">
        <v>69</v>
      </c>
    </row>
    <row r="49" spans="2:9" x14ac:dyDescent="0.2">
      <c r="B49" s="1" t="s">
        <v>94</v>
      </c>
      <c r="C49" s="1">
        <v>170</v>
      </c>
      <c r="D49" s="1">
        <v>2.3134160000000001E-2</v>
      </c>
      <c r="E49" s="1">
        <v>2.3134160000000001E-2</v>
      </c>
      <c r="F49" s="1">
        <v>0</v>
      </c>
      <c r="G49" s="1" t="s">
        <v>970</v>
      </c>
      <c r="H49" s="1" t="s">
        <v>977</v>
      </c>
      <c r="I49" s="1" t="s">
        <v>69</v>
      </c>
    </row>
    <row r="50" spans="2:9" x14ac:dyDescent="0.2">
      <c r="B50" s="1" t="s">
        <v>94</v>
      </c>
      <c r="C50" s="1">
        <v>171</v>
      </c>
      <c r="D50" s="1">
        <v>1.779758E-2</v>
      </c>
      <c r="E50" s="1">
        <v>1.779758E-2</v>
      </c>
      <c r="F50" s="1">
        <v>0</v>
      </c>
      <c r="G50" s="1" t="s">
        <v>971</v>
      </c>
      <c r="H50" s="1" t="s">
        <v>978</v>
      </c>
      <c r="I50" s="1" t="s">
        <v>69</v>
      </c>
    </row>
    <row r="51" spans="2:9" x14ac:dyDescent="0.2">
      <c r="B51" s="1" t="s">
        <v>94</v>
      </c>
      <c r="C51" s="1">
        <v>172</v>
      </c>
      <c r="D51" s="1">
        <v>1.7194350000000001E-2</v>
      </c>
      <c r="E51" s="1">
        <v>1.7194350000000001E-2</v>
      </c>
      <c r="F51" s="1">
        <v>0</v>
      </c>
      <c r="G51" s="1" t="s">
        <v>596</v>
      </c>
      <c r="H51" s="1" t="s">
        <v>979</v>
      </c>
      <c r="I51" s="1" t="s">
        <v>69</v>
      </c>
    </row>
    <row r="52" spans="2:9" x14ac:dyDescent="0.2">
      <c r="B52" s="1" t="s">
        <v>94</v>
      </c>
      <c r="C52" s="1">
        <v>173</v>
      </c>
      <c r="D52" s="1">
        <v>1.162531E-2</v>
      </c>
      <c r="E52" s="1">
        <v>1.162531E-2</v>
      </c>
      <c r="F52" s="1">
        <v>0</v>
      </c>
      <c r="G52" s="1" t="s">
        <v>972</v>
      </c>
      <c r="H52" s="1" t="s">
        <v>980</v>
      </c>
      <c r="I52" s="1" t="s">
        <v>69</v>
      </c>
    </row>
    <row r="53" spans="2:9" x14ac:dyDescent="0.2">
      <c r="B53" s="1" t="s">
        <v>94</v>
      </c>
      <c r="C53" s="1">
        <v>174</v>
      </c>
      <c r="D53" s="1">
        <v>7.0410899999999998E-3</v>
      </c>
      <c r="E53" s="1">
        <v>7.0410899999999998E-3</v>
      </c>
      <c r="F53" s="1">
        <v>0</v>
      </c>
      <c r="G53" s="1" t="s">
        <v>216</v>
      </c>
      <c r="H53" s="1" t="s">
        <v>981</v>
      </c>
      <c r="I53" s="1" t="s">
        <v>69</v>
      </c>
    </row>
    <row r="54" spans="2:9" x14ac:dyDescent="0.2">
      <c r="B54" s="1" t="s">
        <v>94</v>
      </c>
      <c r="C54" s="1">
        <v>175</v>
      </c>
      <c r="D54" s="1">
        <v>6.9617000000000004E-3</v>
      </c>
      <c r="E54" s="1">
        <v>6.9617000000000004E-3</v>
      </c>
      <c r="F54" s="1">
        <v>0</v>
      </c>
      <c r="G54" s="1" t="s">
        <v>204</v>
      </c>
      <c r="H54" s="1" t="s">
        <v>982</v>
      </c>
      <c r="I54" s="1" t="s">
        <v>69</v>
      </c>
    </row>
    <row r="55" spans="2:9" x14ac:dyDescent="0.2">
      <c r="B55" s="1" t="s">
        <v>94</v>
      </c>
      <c r="C55" s="1">
        <v>176</v>
      </c>
      <c r="D55" s="1">
        <v>4.1007400000000003E-3</v>
      </c>
      <c r="E55" s="1">
        <v>4.1007400000000003E-3</v>
      </c>
      <c r="F55" s="1">
        <v>0</v>
      </c>
      <c r="G55" s="1" t="s">
        <v>213</v>
      </c>
      <c r="H55" s="1" t="s">
        <v>983</v>
      </c>
      <c r="I55" s="1" t="s">
        <v>69</v>
      </c>
    </row>
    <row r="56" spans="2:9" x14ac:dyDescent="0.2">
      <c r="B56" s="1" t="s">
        <v>94</v>
      </c>
      <c r="C56" s="1">
        <v>177</v>
      </c>
      <c r="D56" s="1">
        <v>3.9721299999999999E-3</v>
      </c>
      <c r="E56" s="1">
        <v>3.9721299999999999E-3</v>
      </c>
      <c r="F56" s="1">
        <v>0</v>
      </c>
      <c r="G56" s="1" t="s">
        <v>198</v>
      </c>
      <c r="H56" s="1" t="s">
        <v>984</v>
      </c>
      <c r="I56" s="1" t="s">
        <v>69</v>
      </c>
    </row>
    <row r="57" spans="2:9" x14ac:dyDescent="0.2">
      <c r="B57" s="1" t="s">
        <v>94</v>
      </c>
      <c r="C57" s="1">
        <v>178</v>
      </c>
      <c r="D57" s="1">
        <v>2.91157E-3</v>
      </c>
      <c r="E57" s="1">
        <v>2.91157E-3</v>
      </c>
      <c r="F57" s="1">
        <v>0</v>
      </c>
      <c r="G57" s="1" t="s">
        <v>240</v>
      </c>
      <c r="H57" s="1" t="s">
        <v>985</v>
      </c>
      <c r="I57" s="1" t="s">
        <v>69</v>
      </c>
    </row>
    <row r="58" spans="2:9" x14ac:dyDescent="0.2">
      <c r="B58" s="1" t="s">
        <v>94</v>
      </c>
      <c r="C58" s="1">
        <v>179</v>
      </c>
      <c r="D58" s="1">
        <v>7.1088E-4</v>
      </c>
      <c r="E58" s="1">
        <v>7.1088E-4</v>
      </c>
      <c r="F58" s="1">
        <v>0</v>
      </c>
      <c r="G58" s="1" t="s">
        <v>581</v>
      </c>
      <c r="H58" s="1" t="s">
        <v>986</v>
      </c>
      <c r="I58" s="1" t="s">
        <v>69</v>
      </c>
    </row>
    <row r="59" spans="2:9" x14ac:dyDescent="0.2">
      <c r="B59" s="1" t="s">
        <v>94</v>
      </c>
      <c r="C59" s="1">
        <v>180</v>
      </c>
      <c r="D59" s="1">
        <v>1.2089E-4</v>
      </c>
      <c r="E59" s="1">
        <v>1.2089E-4</v>
      </c>
      <c r="F59" s="1">
        <v>0</v>
      </c>
      <c r="G59" s="1" t="s">
        <v>195</v>
      </c>
      <c r="H59" s="1" t="s">
        <v>987</v>
      </c>
      <c r="I59" s="1" t="s">
        <v>69</v>
      </c>
    </row>
    <row r="60" spans="2:9" x14ac:dyDescent="0.2">
      <c r="B60" s="1" t="s">
        <v>94</v>
      </c>
      <c r="C60" s="1">
        <v>181</v>
      </c>
      <c r="D60" s="1">
        <v>9.5400000000000001E-6</v>
      </c>
      <c r="E60" s="1">
        <v>9.5400000000000001E-6</v>
      </c>
      <c r="F60" s="1">
        <v>0</v>
      </c>
      <c r="G60" s="1" t="s">
        <v>154</v>
      </c>
      <c r="H60" s="1" t="s">
        <v>988</v>
      </c>
      <c r="I60" s="1" t="s">
        <v>69</v>
      </c>
    </row>
    <row r="61" spans="2:9" x14ac:dyDescent="0.2">
      <c r="B61" s="1" t="s">
        <v>94</v>
      </c>
      <c r="C61" s="1">
        <v>182</v>
      </c>
      <c r="D61" s="1">
        <v>0</v>
      </c>
      <c r="E61" s="1">
        <v>0</v>
      </c>
      <c r="F61" s="1">
        <v>0</v>
      </c>
      <c r="G61" s="1" t="s">
        <v>55</v>
      </c>
      <c r="H61" s="1" t="s">
        <v>989</v>
      </c>
      <c r="I61" s="1" t="s">
        <v>112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ShtPoloniex"/>
  <dimension ref="A2:F356"/>
  <sheetViews>
    <sheetView zoomScaleNormal="100" workbookViewId="0"/>
  </sheetViews>
  <sheetFormatPr defaultRowHeight="11.4" x14ac:dyDescent="0.2"/>
  <cols>
    <col min="1" max="1" width="3.6640625" style="1" customWidth="1"/>
    <col min="2" max="2" width="17.44140625" style="1" bestFit="1" customWidth="1"/>
    <col min="3" max="3" width="18.21875" style="1" bestFit="1" customWidth="1"/>
    <col min="4" max="5" width="17.109375" style="1" customWidth="1"/>
    <col min="6" max="6" width="20.21875" style="1" customWidth="1"/>
    <col min="7" max="7" width="8.88671875" style="1"/>
    <col min="8" max="8" width="9.5546875" style="1" customWidth="1"/>
    <col min="9" max="10" width="8.88671875" style="1"/>
    <col min="11" max="11" width="14.33203125" style="1" customWidth="1"/>
    <col min="12" max="12" width="8.88671875" style="1"/>
    <col min="13" max="13" width="10.21875" style="1" customWidth="1"/>
    <col min="14" max="16384" width="8.88671875" style="1"/>
  </cols>
  <sheetData>
    <row r="2" spans="1:6" s="35" customFormat="1" ht="17.399999999999999" x14ac:dyDescent="0.3">
      <c r="B2" s="18" t="s">
        <v>992</v>
      </c>
    </row>
    <row r="3" spans="1:6" x14ac:dyDescent="0.2">
      <c r="B3" s="16" t="s">
        <v>993</v>
      </c>
    </row>
    <row r="4" spans="1:6" x14ac:dyDescent="0.2">
      <c r="B4" s="1" t="s">
        <v>142</v>
      </c>
    </row>
    <row r="6" spans="1:6" x14ac:dyDescent="0.2">
      <c r="B6" s="4" t="s">
        <v>43</v>
      </c>
      <c r="C6" s="19" t="s">
        <v>1240</v>
      </c>
    </row>
    <row r="7" spans="1:6" x14ac:dyDescent="0.2">
      <c r="B7" s="4" t="s">
        <v>44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1228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58</v>
      </c>
      <c r="E18" s="1">
        <v>2</v>
      </c>
      <c r="F18" s="32" t="s">
        <v>20</v>
      </c>
    </row>
    <row r="19" spans="2:6" x14ac:dyDescent="0.2">
      <c r="B19" s="31">
        <v>2</v>
      </c>
      <c r="C19" s="1" t="s">
        <v>58</v>
      </c>
      <c r="D19" s="1">
        <v>1</v>
      </c>
      <c r="E19" s="1">
        <v>2</v>
      </c>
      <c r="F19" s="32" t="s">
        <v>20</v>
      </c>
    </row>
    <row r="20" spans="2:6" x14ac:dyDescent="0.2">
      <c r="B20" s="31">
        <v>3</v>
      </c>
      <c r="C20" s="1">
        <v>1</v>
      </c>
      <c r="D20" s="1">
        <v>1</v>
      </c>
      <c r="E20" s="1">
        <v>3.018645E-2</v>
      </c>
      <c r="F20" s="32" t="s">
        <v>21</v>
      </c>
    </row>
    <row r="21" spans="2:6" x14ac:dyDescent="0.2">
      <c r="B21" s="31">
        <v>3</v>
      </c>
      <c r="C21" s="1">
        <v>1</v>
      </c>
      <c r="D21" s="1">
        <v>2</v>
      </c>
      <c r="E21" s="1">
        <v>238</v>
      </c>
      <c r="F21" s="32" t="s">
        <v>21</v>
      </c>
    </row>
    <row r="22" spans="2:6" x14ac:dyDescent="0.2">
      <c r="B22" s="31">
        <v>2</v>
      </c>
      <c r="C22" s="1">
        <v>1</v>
      </c>
      <c r="D22" s="1">
        <v>2</v>
      </c>
      <c r="E22" s="1">
        <v>2</v>
      </c>
      <c r="F22" s="32" t="s">
        <v>20</v>
      </c>
    </row>
    <row r="23" spans="2:6" x14ac:dyDescent="0.2">
      <c r="B23" s="31">
        <v>3</v>
      </c>
      <c r="C23" s="1">
        <v>2</v>
      </c>
      <c r="D23" s="1">
        <v>1</v>
      </c>
      <c r="E23" s="1">
        <v>3.0186459999999998E-2</v>
      </c>
      <c r="F23" s="32" t="s">
        <v>21</v>
      </c>
    </row>
    <row r="24" spans="2:6" x14ac:dyDescent="0.2">
      <c r="B24" s="31">
        <v>3</v>
      </c>
      <c r="C24" s="1">
        <v>2</v>
      </c>
      <c r="D24" s="1">
        <v>2</v>
      </c>
      <c r="E24" s="1">
        <v>512.99</v>
      </c>
      <c r="F24" s="32" t="s">
        <v>21</v>
      </c>
    </row>
    <row r="25" spans="2:6" x14ac:dyDescent="0.2">
      <c r="B25" s="31">
        <v>1</v>
      </c>
      <c r="C25" s="1" t="s">
        <v>18</v>
      </c>
      <c r="D25" s="1" t="s">
        <v>59</v>
      </c>
      <c r="E25" s="1">
        <v>2</v>
      </c>
      <c r="F25" s="32" t="s">
        <v>20</v>
      </c>
    </row>
    <row r="26" spans="2:6" x14ac:dyDescent="0.2">
      <c r="B26" s="31">
        <v>2</v>
      </c>
      <c r="C26" s="1" t="s">
        <v>59</v>
      </c>
      <c r="D26" s="1">
        <v>1</v>
      </c>
      <c r="E26" s="1">
        <v>2</v>
      </c>
      <c r="F26" s="32" t="s">
        <v>20</v>
      </c>
    </row>
    <row r="27" spans="2:6" x14ac:dyDescent="0.2">
      <c r="B27" s="31">
        <v>3</v>
      </c>
      <c r="C27" s="1">
        <v>1</v>
      </c>
      <c r="D27" s="1">
        <v>1</v>
      </c>
      <c r="E27" s="1">
        <v>2.9996519999999999E-2</v>
      </c>
      <c r="F27" s="32" t="s">
        <v>21</v>
      </c>
    </row>
    <row r="28" spans="2:6" x14ac:dyDescent="0.2">
      <c r="B28" s="31">
        <v>3</v>
      </c>
      <c r="C28" s="1">
        <v>1</v>
      </c>
      <c r="D28" s="1">
        <v>2</v>
      </c>
      <c r="E28" s="1">
        <v>97.22</v>
      </c>
      <c r="F28" s="32" t="s">
        <v>21</v>
      </c>
    </row>
    <row r="29" spans="2:6" x14ac:dyDescent="0.2">
      <c r="B29" s="31">
        <v>2</v>
      </c>
      <c r="C29" s="1">
        <v>1</v>
      </c>
      <c r="D29" s="1">
        <v>2</v>
      </c>
      <c r="E29" s="1">
        <v>2</v>
      </c>
      <c r="F29" s="32" t="s">
        <v>20</v>
      </c>
    </row>
    <row r="30" spans="2:6" x14ac:dyDescent="0.2">
      <c r="B30" s="31">
        <v>3</v>
      </c>
      <c r="C30" s="1">
        <v>2</v>
      </c>
      <c r="D30" s="1">
        <v>1</v>
      </c>
      <c r="E30" s="1">
        <v>2.9996510000000001E-2</v>
      </c>
      <c r="F30" s="32" t="s">
        <v>21</v>
      </c>
    </row>
    <row r="31" spans="2:6" x14ac:dyDescent="0.2">
      <c r="B31" s="31">
        <v>3</v>
      </c>
      <c r="C31" s="1">
        <v>2</v>
      </c>
      <c r="D31" s="1">
        <v>2</v>
      </c>
      <c r="E31" s="1">
        <v>77.790000000000006</v>
      </c>
      <c r="F31" s="32" t="s">
        <v>21</v>
      </c>
    </row>
    <row r="32" spans="2:6" x14ac:dyDescent="0.2">
      <c r="B32" s="31">
        <v>1</v>
      </c>
      <c r="C32" s="1" t="s">
        <v>18</v>
      </c>
      <c r="D32" s="1" t="s">
        <v>60</v>
      </c>
      <c r="E32" s="1">
        <v>0</v>
      </c>
      <c r="F32" s="32" t="s">
        <v>21</v>
      </c>
    </row>
    <row r="33" spans="1:6" ht="12" thickBot="1" x14ac:dyDescent="0.25">
      <c r="B33" s="20">
        <v>1</v>
      </c>
      <c r="C33" s="21" t="s">
        <v>18</v>
      </c>
      <c r="D33" s="21" t="s">
        <v>61</v>
      </c>
      <c r="E33" s="21">
        <v>31929027</v>
      </c>
      <c r="F33" s="23" t="s">
        <v>21</v>
      </c>
    </row>
    <row r="36" spans="1:6" x14ac:dyDescent="0.2">
      <c r="A36" s="4" t="s">
        <v>144</v>
      </c>
    </row>
    <row r="37" spans="1:6" ht="12" thickBot="1" x14ac:dyDescent="0.25">
      <c r="B37" s="2" t="s">
        <v>23</v>
      </c>
      <c r="C37" s="3"/>
      <c r="D37" s="3"/>
    </row>
    <row r="38" spans="1:6" x14ac:dyDescent="0.2">
      <c r="B38" s="25" t="s">
        <v>1</v>
      </c>
      <c r="C38" s="29" t="s">
        <v>6</v>
      </c>
      <c r="D38" s="29" t="s">
        <v>62</v>
      </c>
      <c r="E38" s="26" t="s">
        <v>63</v>
      </c>
    </row>
    <row r="39" spans="1:6" x14ac:dyDescent="0.2">
      <c r="B39" s="31" t="s">
        <v>58</v>
      </c>
      <c r="C39" s="1">
        <v>1</v>
      </c>
      <c r="D39" s="1">
        <v>3.018645E-2</v>
      </c>
      <c r="E39" s="32">
        <v>238</v>
      </c>
    </row>
    <row r="40" spans="1:6" x14ac:dyDescent="0.2">
      <c r="B40" s="31" t="s">
        <v>58</v>
      </c>
      <c r="C40" s="1">
        <v>2</v>
      </c>
      <c r="D40" s="1">
        <v>3.0186459999999998E-2</v>
      </c>
      <c r="E40" s="32">
        <v>512.99</v>
      </c>
    </row>
    <row r="41" spans="1:6" x14ac:dyDescent="0.2">
      <c r="B41" s="31" t="s">
        <v>59</v>
      </c>
      <c r="C41" s="1">
        <v>1</v>
      </c>
      <c r="D41" s="1">
        <v>2.9996519999999999E-2</v>
      </c>
      <c r="E41" s="32">
        <v>97.22</v>
      </c>
    </row>
    <row r="42" spans="1:6" ht="12" thickBot="1" x14ac:dyDescent="0.25">
      <c r="B42" s="20" t="s">
        <v>59</v>
      </c>
      <c r="C42" s="21">
        <v>2</v>
      </c>
      <c r="D42" s="44">
        <v>2.9996510000000001E-2</v>
      </c>
      <c r="E42" s="46">
        <v>77.790000000000006</v>
      </c>
    </row>
    <row r="45" spans="1:6" x14ac:dyDescent="0.2">
      <c r="A45" s="4" t="s">
        <v>145</v>
      </c>
    </row>
    <row r="47" spans="1:6" x14ac:dyDescent="0.2">
      <c r="B47" s="2" t="s">
        <v>311</v>
      </c>
      <c r="C47" s="2"/>
      <c r="D47" s="2"/>
    </row>
    <row r="48" spans="1:6" x14ac:dyDescent="0.2">
      <c r="B48" s="1" t="s">
        <v>1226</v>
      </c>
      <c r="C48" s="1" t="s">
        <v>1227</v>
      </c>
    </row>
    <row r="49" spans="2:3" x14ac:dyDescent="0.2">
      <c r="B49" s="1" t="s">
        <v>1229</v>
      </c>
      <c r="C49" s="1">
        <v>0</v>
      </c>
    </row>
    <row r="50" spans="2:3" x14ac:dyDescent="0.2">
      <c r="B50" s="1" t="s">
        <v>994</v>
      </c>
      <c r="C50" s="1">
        <v>0</v>
      </c>
    </row>
    <row r="51" spans="2:3" x14ac:dyDescent="0.2">
      <c r="B51" s="1" t="s">
        <v>995</v>
      </c>
      <c r="C51" s="1">
        <v>0</v>
      </c>
    </row>
    <row r="52" spans="2:3" x14ac:dyDescent="0.2">
      <c r="B52" s="1" t="s">
        <v>996</v>
      </c>
      <c r="C52" s="1">
        <v>0</v>
      </c>
    </row>
    <row r="53" spans="2:3" x14ac:dyDescent="0.2">
      <c r="B53" s="1" t="s">
        <v>997</v>
      </c>
      <c r="C53" s="1">
        <v>0</v>
      </c>
    </row>
    <row r="54" spans="2:3" x14ac:dyDescent="0.2">
      <c r="B54" s="1" t="s">
        <v>537</v>
      </c>
      <c r="C54" s="1">
        <v>0</v>
      </c>
    </row>
    <row r="55" spans="2:3" x14ac:dyDescent="0.2">
      <c r="B55" s="1" t="s">
        <v>998</v>
      </c>
      <c r="C55" s="1">
        <v>0</v>
      </c>
    </row>
    <row r="56" spans="2:3" x14ac:dyDescent="0.2">
      <c r="B56" s="1" t="s">
        <v>538</v>
      </c>
      <c r="C56" s="1">
        <v>0</v>
      </c>
    </row>
    <row r="57" spans="2:3" x14ac:dyDescent="0.2">
      <c r="B57" s="1" t="s">
        <v>540</v>
      </c>
      <c r="C57" s="1">
        <v>0</v>
      </c>
    </row>
    <row r="58" spans="2:3" x14ac:dyDescent="0.2">
      <c r="B58" s="1" t="s">
        <v>967</v>
      </c>
      <c r="C58" s="1">
        <v>0</v>
      </c>
    </row>
    <row r="59" spans="2:3" x14ac:dyDescent="0.2">
      <c r="B59" s="1" t="s">
        <v>999</v>
      </c>
      <c r="C59" s="1">
        <v>0</v>
      </c>
    </row>
    <row r="60" spans="2:3" x14ac:dyDescent="0.2">
      <c r="B60" s="1" t="s">
        <v>285</v>
      </c>
      <c r="C60" s="1">
        <v>0</v>
      </c>
    </row>
    <row r="61" spans="2:3" x14ac:dyDescent="0.2">
      <c r="B61" s="1" t="s">
        <v>1000</v>
      </c>
      <c r="C61" s="1">
        <v>0</v>
      </c>
    </row>
    <row r="62" spans="2:3" x14ac:dyDescent="0.2">
      <c r="B62" s="1" t="s">
        <v>1001</v>
      </c>
      <c r="C62" s="1">
        <v>0</v>
      </c>
    </row>
    <row r="63" spans="2:3" x14ac:dyDescent="0.2">
      <c r="B63" s="1" t="s">
        <v>1002</v>
      </c>
      <c r="C63" s="1">
        <v>0</v>
      </c>
    </row>
    <row r="64" spans="2:3" x14ac:dyDescent="0.2">
      <c r="B64" s="1" t="s">
        <v>1003</v>
      </c>
      <c r="C64" s="1">
        <v>0</v>
      </c>
    </row>
    <row r="65" spans="2:3" x14ac:dyDescent="0.2">
      <c r="B65" s="1" t="s">
        <v>1004</v>
      </c>
      <c r="C65" s="1">
        <v>0</v>
      </c>
    </row>
    <row r="66" spans="2:3" x14ac:dyDescent="0.2">
      <c r="B66" s="1" t="s">
        <v>192</v>
      </c>
      <c r="C66" s="1">
        <v>0</v>
      </c>
    </row>
    <row r="67" spans="2:3" x14ac:dyDescent="0.2">
      <c r="B67" s="1" t="s">
        <v>1005</v>
      </c>
      <c r="C67" s="1">
        <v>0</v>
      </c>
    </row>
    <row r="68" spans="2:3" x14ac:dyDescent="0.2">
      <c r="B68" s="1" t="s">
        <v>1006</v>
      </c>
      <c r="C68" s="1">
        <v>0</v>
      </c>
    </row>
    <row r="69" spans="2:3" x14ac:dyDescent="0.2">
      <c r="B69" s="1" t="s">
        <v>153</v>
      </c>
      <c r="C69" s="1">
        <v>0</v>
      </c>
    </row>
    <row r="70" spans="2:3" x14ac:dyDescent="0.2">
      <c r="B70" s="1" t="s">
        <v>373</v>
      </c>
      <c r="C70" s="1">
        <v>0</v>
      </c>
    </row>
    <row r="71" spans="2:3" x14ac:dyDescent="0.2">
      <c r="B71" s="1" t="s">
        <v>299</v>
      </c>
      <c r="C71" s="1">
        <v>0</v>
      </c>
    </row>
    <row r="72" spans="2:3" x14ac:dyDescent="0.2">
      <c r="B72" s="1" t="s">
        <v>300</v>
      </c>
      <c r="C72" s="1">
        <v>0</v>
      </c>
    </row>
    <row r="73" spans="2:3" x14ac:dyDescent="0.2">
      <c r="B73" s="1" t="s">
        <v>271</v>
      </c>
      <c r="C73" s="1">
        <v>0</v>
      </c>
    </row>
    <row r="74" spans="2:3" x14ac:dyDescent="0.2">
      <c r="B74" s="1" t="s">
        <v>1007</v>
      </c>
      <c r="C74" s="1">
        <v>0</v>
      </c>
    </row>
    <row r="75" spans="2:3" x14ac:dyDescent="0.2">
      <c r="B75" s="1" t="s">
        <v>1008</v>
      </c>
      <c r="C75" s="1">
        <v>0</v>
      </c>
    </row>
    <row r="76" spans="2:3" x14ac:dyDescent="0.2">
      <c r="B76" s="1" t="s">
        <v>562</v>
      </c>
      <c r="C76" s="1">
        <v>0</v>
      </c>
    </row>
    <row r="77" spans="2:3" x14ac:dyDescent="0.2">
      <c r="B77" s="1" t="s">
        <v>1009</v>
      </c>
      <c r="C77" s="1">
        <v>0</v>
      </c>
    </row>
    <row r="78" spans="2:3" x14ac:dyDescent="0.2">
      <c r="B78" s="1" t="s">
        <v>1010</v>
      </c>
      <c r="C78" s="1">
        <v>0</v>
      </c>
    </row>
    <row r="79" spans="2:3" x14ac:dyDescent="0.2">
      <c r="B79" s="1" t="s">
        <v>569</v>
      </c>
      <c r="C79" s="1">
        <v>0</v>
      </c>
    </row>
    <row r="80" spans="2:3" x14ac:dyDescent="0.2">
      <c r="B80" s="1" t="s">
        <v>1011</v>
      </c>
      <c r="C80" s="1">
        <v>0</v>
      </c>
    </row>
    <row r="81" spans="2:3" x14ac:dyDescent="0.2">
      <c r="B81" s="1" t="s">
        <v>1012</v>
      </c>
      <c r="C81" s="1">
        <v>0</v>
      </c>
    </row>
    <row r="82" spans="2:3" x14ac:dyDescent="0.2">
      <c r="B82" s="1" t="s">
        <v>1013</v>
      </c>
      <c r="C82" s="1">
        <v>0</v>
      </c>
    </row>
    <row r="83" spans="2:3" x14ac:dyDescent="0.2">
      <c r="B83" s="1" t="s">
        <v>1014</v>
      </c>
      <c r="C83" s="1">
        <v>0</v>
      </c>
    </row>
    <row r="84" spans="2:3" x14ac:dyDescent="0.2">
      <c r="B84" s="1" t="s">
        <v>1015</v>
      </c>
      <c r="C84" s="1">
        <v>0</v>
      </c>
    </row>
    <row r="85" spans="2:3" x14ac:dyDescent="0.2">
      <c r="B85" s="1" t="s">
        <v>152</v>
      </c>
      <c r="C85" s="1">
        <v>0</v>
      </c>
    </row>
    <row r="86" spans="2:3" x14ac:dyDescent="0.2">
      <c r="B86" s="1" t="s">
        <v>1016</v>
      </c>
      <c r="C86" s="1">
        <v>0</v>
      </c>
    </row>
    <row r="87" spans="2:3" x14ac:dyDescent="0.2">
      <c r="B87" s="1" t="s">
        <v>1017</v>
      </c>
      <c r="C87" s="1">
        <v>0</v>
      </c>
    </row>
    <row r="88" spans="2:3" x14ac:dyDescent="0.2">
      <c r="B88" s="1" t="s">
        <v>38</v>
      </c>
      <c r="C88" s="1">
        <v>0</v>
      </c>
    </row>
    <row r="89" spans="2:3" x14ac:dyDescent="0.2">
      <c r="B89" s="1" t="s">
        <v>1018</v>
      </c>
      <c r="C89" s="1">
        <v>0</v>
      </c>
    </row>
    <row r="90" spans="2:3" x14ac:dyDescent="0.2">
      <c r="B90" s="1" t="s">
        <v>1019</v>
      </c>
      <c r="C90" s="1">
        <v>0</v>
      </c>
    </row>
    <row r="91" spans="2:3" x14ac:dyDescent="0.2">
      <c r="B91" s="1" t="s">
        <v>582</v>
      </c>
      <c r="C91" s="1">
        <v>0</v>
      </c>
    </row>
    <row r="92" spans="2:3" x14ac:dyDescent="0.2">
      <c r="B92" s="1" t="s">
        <v>221</v>
      </c>
      <c r="C92" s="1">
        <v>0</v>
      </c>
    </row>
    <row r="93" spans="2:3" x14ac:dyDescent="0.2">
      <c r="B93" s="1" t="s">
        <v>1020</v>
      </c>
      <c r="C93" s="1">
        <v>0</v>
      </c>
    </row>
    <row r="94" spans="2:3" x14ac:dyDescent="0.2">
      <c r="B94" s="1" t="s">
        <v>1021</v>
      </c>
      <c r="C94" s="1">
        <v>0</v>
      </c>
    </row>
    <row r="95" spans="2:3" x14ac:dyDescent="0.2">
      <c r="B95" s="1" t="s">
        <v>1022</v>
      </c>
      <c r="C95" s="1">
        <v>0</v>
      </c>
    </row>
    <row r="96" spans="2:3" x14ac:dyDescent="0.2">
      <c r="B96" s="1" t="s">
        <v>1023</v>
      </c>
      <c r="C96" s="1">
        <v>0</v>
      </c>
    </row>
    <row r="97" spans="2:3" x14ac:dyDescent="0.2">
      <c r="B97" s="1" t="s">
        <v>1024</v>
      </c>
      <c r="C97" s="1">
        <v>0</v>
      </c>
    </row>
    <row r="98" spans="2:3" x14ac:dyDescent="0.2">
      <c r="B98" s="1" t="s">
        <v>1025</v>
      </c>
      <c r="C98" s="1">
        <v>0</v>
      </c>
    </row>
    <row r="99" spans="2:3" x14ac:dyDescent="0.2">
      <c r="B99" s="1" t="s">
        <v>1026</v>
      </c>
      <c r="C99" s="1">
        <v>0</v>
      </c>
    </row>
    <row r="100" spans="2:3" x14ac:dyDescent="0.2">
      <c r="B100" s="1" t="s">
        <v>1027</v>
      </c>
      <c r="C100" s="1">
        <v>0</v>
      </c>
    </row>
    <row r="101" spans="2:3" x14ac:dyDescent="0.2">
      <c r="B101" s="1" t="s">
        <v>1028</v>
      </c>
      <c r="C101" s="1">
        <v>0</v>
      </c>
    </row>
    <row r="102" spans="2:3" x14ac:dyDescent="0.2">
      <c r="B102" s="1" t="s">
        <v>1029</v>
      </c>
      <c r="C102" s="1">
        <v>0</v>
      </c>
    </row>
    <row r="103" spans="2:3" x14ac:dyDescent="0.2">
      <c r="B103" s="1" t="s">
        <v>1030</v>
      </c>
      <c r="C103" s="1">
        <v>0</v>
      </c>
    </row>
    <row r="104" spans="2:3" x14ac:dyDescent="0.2">
      <c r="B104" s="1" t="s">
        <v>1031</v>
      </c>
      <c r="C104" s="1">
        <v>0</v>
      </c>
    </row>
    <row r="105" spans="2:3" x14ac:dyDescent="0.2">
      <c r="B105" s="1" t="s">
        <v>1032</v>
      </c>
      <c r="C105" s="1">
        <v>0</v>
      </c>
    </row>
    <row r="106" spans="2:3" x14ac:dyDescent="0.2">
      <c r="B106" s="1" t="s">
        <v>1033</v>
      </c>
      <c r="C106" s="1">
        <v>0</v>
      </c>
    </row>
    <row r="107" spans="2:3" x14ac:dyDescent="0.2">
      <c r="B107" s="1" t="s">
        <v>1034</v>
      </c>
      <c r="C107" s="1">
        <v>0</v>
      </c>
    </row>
    <row r="108" spans="2:3" x14ac:dyDescent="0.2">
      <c r="B108" s="1" t="s">
        <v>1035</v>
      </c>
      <c r="C108" s="1">
        <v>0</v>
      </c>
    </row>
    <row r="109" spans="2:3" x14ac:dyDescent="0.2">
      <c r="B109" s="1" t="s">
        <v>1036</v>
      </c>
      <c r="C109" s="1">
        <v>0</v>
      </c>
    </row>
    <row r="110" spans="2:3" x14ac:dyDescent="0.2">
      <c r="B110" s="1" t="s">
        <v>1037</v>
      </c>
      <c r="C110" s="1">
        <v>0</v>
      </c>
    </row>
    <row r="111" spans="2:3" x14ac:dyDescent="0.2">
      <c r="B111" s="1" t="s">
        <v>1038</v>
      </c>
      <c r="C111" s="1">
        <v>0</v>
      </c>
    </row>
    <row r="112" spans="2:3" x14ac:dyDescent="0.2">
      <c r="B112" s="1" t="s">
        <v>176</v>
      </c>
      <c r="C112" s="1">
        <v>0</v>
      </c>
    </row>
    <row r="113" spans="2:3" x14ac:dyDescent="0.2">
      <c r="B113" s="1" t="s">
        <v>1039</v>
      </c>
      <c r="C113" s="1">
        <v>0</v>
      </c>
    </row>
    <row r="114" spans="2:3" x14ac:dyDescent="0.2">
      <c r="B114" s="1" t="s">
        <v>1040</v>
      </c>
      <c r="C114" s="1">
        <v>0</v>
      </c>
    </row>
    <row r="115" spans="2:3" x14ac:dyDescent="0.2">
      <c r="B115" s="1" t="s">
        <v>193</v>
      </c>
      <c r="C115" s="1">
        <v>0</v>
      </c>
    </row>
    <row r="116" spans="2:3" x14ac:dyDescent="0.2">
      <c r="B116" s="1" t="s">
        <v>296</v>
      </c>
      <c r="C116" s="1">
        <v>0</v>
      </c>
    </row>
    <row r="117" spans="2:3" x14ac:dyDescent="0.2">
      <c r="B117" s="1" t="s">
        <v>642</v>
      </c>
      <c r="C117" s="1">
        <v>0</v>
      </c>
    </row>
    <row r="118" spans="2:3" x14ac:dyDescent="0.2">
      <c r="B118" s="1" t="s">
        <v>644</v>
      </c>
      <c r="C118" s="1">
        <v>0</v>
      </c>
    </row>
    <row r="119" spans="2:3" x14ac:dyDescent="0.2">
      <c r="B119" s="1" t="s">
        <v>1041</v>
      </c>
      <c r="C119" s="1">
        <v>0</v>
      </c>
    </row>
    <row r="120" spans="2:3" x14ac:dyDescent="0.2">
      <c r="B120" s="1" t="s">
        <v>1042</v>
      </c>
      <c r="C120" s="1">
        <v>0</v>
      </c>
    </row>
    <row r="121" spans="2:3" x14ac:dyDescent="0.2">
      <c r="B121" s="1" t="s">
        <v>1043</v>
      </c>
      <c r="C121" s="1">
        <v>0</v>
      </c>
    </row>
    <row r="122" spans="2:3" x14ac:dyDescent="0.2">
      <c r="B122" s="1" t="s">
        <v>1044</v>
      </c>
      <c r="C122" s="1">
        <v>0</v>
      </c>
    </row>
    <row r="123" spans="2:3" x14ac:dyDescent="0.2">
      <c r="B123" s="1" t="s">
        <v>647</v>
      </c>
      <c r="C123" s="1">
        <v>0</v>
      </c>
    </row>
    <row r="124" spans="2:3" x14ac:dyDescent="0.2">
      <c r="B124" s="1" t="s">
        <v>1045</v>
      </c>
      <c r="C124" s="1">
        <v>0</v>
      </c>
    </row>
    <row r="125" spans="2:3" x14ac:dyDescent="0.2">
      <c r="B125" s="1" t="s">
        <v>1046</v>
      </c>
      <c r="C125" s="1">
        <v>0</v>
      </c>
    </row>
    <row r="126" spans="2:3" x14ac:dyDescent="0.2">
      <c r="B126" s="1" t="s">
        <v>654</v>
      </c>
      <c r="C126" s="1">
        <v>0</v>
      </c>
    </row>
    <row r="127" spans="2:3" x14ac:dyDescent="0.2">
      <c r="B127" s="1" t="s">
        <v>1047</v>
      </c>
      <c r="C127" s="1">
        <v>0</v>
      </c>
    </row>
    <row r="128" spans="2:3" x14ac:dyDescent="0.2">
      <c r="B128" s="1" t="s">
        <v>1048</v>
      </c>
      <c r="C128" s="1">
        <v>0</v>
      </c>
    </row>
    <row r="129" spans="2:3" x14ac:dyDescent="0.2">
      <c r="B129" s="1" t="s">
        <v>1049</v>
      </c>
      <c r="C129" s="1">
        <v>0</v>
      </c>
    </row>
    <row r="130" spans="2:3" x14ac:dyDescent="0.2">
      <c r="B130" s="1" t="s">
        <v>1050</v>
      </c>
      <c r="C130" s="1">
        <v>0</v>
      </c>
    </row>
    <row r="131" spans="2:3" x14ac:dyDescent="0.2">
      <c r="B131" s="1" t="s">
        <v>1051</v>
      </c>
      <c r="C131" s="1">
        <v>0</v>
      </c>
    </row>
    <row r="132" spans="2:3" x14ac:dyDescent="0.2">
      <c r="B132" s="1" t="s">
        <v>1052</v>
      </c>
      <c r="C132" s="1">
        <v>0</v>
      </c>
    </row>
    <row r="133" spans="2:3" x14ac:dyDescent="0.2">
      <c r="B133" s="1" t="s">
        <v>1053</v>
      </c>
      <c r="C133" s="1">
        <v>0</v>
      </c>
    </row>
    <row r="134" spans="2:3" x14ac:dyDescent="0.2">
      <c r="B134" s="1" t="s">
        <v>1054</v>
      </c>
      <c r="C134" s="1">
        <v>0</v>
      </c>
    </row>
    <row r="135" spans="2:3" x14ac:dyDescent="0.2">
      <c r="B135" s="1" t="s">
        <v>150</v>
      </c>
      <c r="C135" s="1">
        <v>0</v>
      </c>
    </row>
    <row r="136" spans="2:3" x14ac:dyDescent="0.2">
      <c r="B136" s="1" t="s">
        <v>186</v>
      </c>
      <c r="C136" s="1">
        <v>0</v>
      </c>
    </row>
    <row r="137" spans="2:3" x14ac:dyDescent="0.2">
      <c r="B137" s="1" t="s">
        <v>56</v>
      </c>
      <c r="C137" s="1">
        <v>0</v>
      </c>
    </row>
    <row r="138" spans="2:3" x14ac:dyDescent="0.2">
      <c r="B138" s="1" t="s">
        <v>1055</v>
      </c>
      <c r="C138" s="1">
        <v>0</v>
      </c>
    </row>
    <row r="139" spans="2:3" x14ac:dyDescent="0.2">
      <c r="B139" s="1" t="s">
        <v>1056</v>
      </c>
      <c r="C139" s="1">
        <v>0</v>
      </c>
    </row>
    <row r="140" spans="2:3" x14ac:dyDescent="0.2">
      <c r="B140" s="1" t="s">
        <v>1057</v>
      </c>
      <c r="C140" s="1">
        <v>0</v>
      </c>
    </row>
    <row r="141" spans="2:3" x14ac:dyDescent="0.2">
      <c r="B141" s="1" t="s">
        <v>1058</v>
      </c>
      <c r="C141" s="1">
        <v>0</v>
      </c>
    </row>
    <row r="142" spans="2:3" x14ac:dyDescent="0.2">
      <c r="B142" s="1" t="s">
        <v>682</v>
      </c>
      <c r="C142" s="1">
        <v>0</v>
      </c>
    </row>
    <row r="143" spans="2:3" x14ac:dyDescent="0.2">
      <c r="B143" s="1" t="s">
        <v>1059</v>
      </c>
      <c r="C143" s="1">
        <v>0</v>
      </c>
    </row>
    <row r="144" spans="2:3" x14ac:dyDescent="0.2">
      <c r="B144" s="1" t="s">
        <v>1060</v>
      </c>
      <c r="C144" s="1">
        <v>0</v>
      </c>
    </row>
    <row r="145" spans="2:3" x14ac:dyDescent="0.2">
      <c r="B145" s="1" t="s">
        <v>1061</v>
      </c>
      <c r="C145" s="1">
        <v>0</v>
      </c>
    </row>
    <row r="146" spans="2:3" x14ac:dyDescent="0.2">
      <c r="B146" s="1" t="s">
        <v>1062</v>
      </c>
      <c r="C146" s="1">
        <v>0</v>
      </c>
    </row>
    <row r="147" spans="2:3" x14ac:dyDescent="0.2">
      <c r="B147" s="1" t="s">
        <v>1063</v>
      </c>
      <c r="C147" s="1">
        <v>0</v>
      </c>
    </row>
    <row r="148" spans="2:3" x14ac:dyDescent="0.2">
      <c r="B148" s="1" t="s">
        <v>1064</v>
      </c>
      <c r="C148" s="1">
        <v>0</v>
      </c>
    </row>
    <row r="149" spans="2:3" x14ac:dyDescent="0.2">
      <c r="B149" s="1" t="s">
        <v>1065</v>
      </c>
      <c r="C149" s="1">
        <v>0</v>
      </c>
    </row>
    <row r="150" spans="2:3" x14ac:dyDescent="0.2">
      <c r="B150" s="1" t="s">
        <v>1066</v>
      </c>
      <c r="C150" s="1">
        <v>0</v>
      </c>
    </row>
    <row r="151" spans="2:3" x14ac:dyDescent="0.2">
      <c r="B151" s="1" t="s">
        <v>1067</v>
      </c>
      <c r="C151" s="1">
        <v>0</v>
      </c>
    </row>
    <row r="152" spans="2:3" x14ac:dyDescent="0.2">
      <c r="B152" s="1" t="s">
        <v>1068</v>
      </c>
      <c r="C152" s="1">
        <v>0</v>
      </c>
    </row>
    <row r="153" spans="2:3" x14ac:dyDescent="0.2">
      <c r="B153" s="1" t="s">
        <v>1069</v>
      </c>
      <c r="C153" s="1">
        <v>0</v>
      </c>
    </row>
    <row r="154" spans="2:3" x14ac:dyDescent="0.2">
      <c r="B154" s="1" t="s">
        <v>1070</v>
      </c>
      <c r="C154" s="1">
        <v>0</v>
      </c>
    </row>
    <row r="155" spans="2:3" x14ac:dyDescent="0.2">
      <c r="B155" s="1" t="s">
        <v>1071</v>
      </c>
      <c r="C155" s="1">
        <v>0</v>
      </c>
    </row>
    <row r="156" spans="2:3" x14ac:dyDescent="0.2">
      <c r="B156" s="1" t="s">
        <v>1072</v>
      </c>
      <c r="C156" s="1">
        <v>0</v>
      </c>
    </row>
    <row r="157" spans="2:3" x14ac:dyDescent="0.2">
      <c r="B157" s="1" t="s">
        <v>692</v>
      </c>
      <c r="C157" s="1">
        <v>0</v>
      </c>
    </row>
    <row r="158" spans="2:3" x14ac:dyDescent="0.2">
      <c r="B158" s="1" t="s">
        <v>1073</v>
      </c>
      <c r="C158" s="1">
        <v>0</v>
      </c>
    </row>
    <row r="159" spans="2:3" x14ac:dyDescent="0.2">
      <c r="B159" s="1" t="s">
        <v>109</v>
      </c>
      <c r="C159" s="1">
        <v>0</v>
      </c>
    </row>
    <row r="160" spans="2:3" x14ac:dyDescent="0.2">
      <c r="B160" s="1" t="s">
        <v>1074</v>
      </c>
      <c r="C160" s="1">
        <v>0</v>
      </c>
    </row>
    <row r="161" spans="2:3" x14ac:dyDescent="0.2">
      <c r="B161" s="1" t="s">
        <v>1075</v>
      </c>
      <c r="C161" s="1">
        <v>0</v>
      </c>
    </row>
    <row r="162" spans="2:3" x14ac:dyDescent="0.2">
      <c r="B162" s="1" t="s">
        <v>1076</v>
      </c>
      <c r="C162" s="1">
        <v>0</v>
      </c>
    </row>
    <row r="163" spans="2:3" x14ac:dyDescent="0.2">
      <c r="B163" s="1" t="s">
        <v>1077</v>
      </c>
      <c r="C163" s="1">
        <v>0</v>
      </c>
    </row>
    <row r="164" spans="2:3" x14ac:dyDescent="0.2">
      <c r="B164" s="1" t="s">
        <v>1078</v>
      </c>
      <c r="C164" s="1">
        <v>0</v>
      </c>
    </row>
    <row r="165" spans="2:3" x14ac:dyDescent="0.2">
      <c r="B165" s="1" t="s">
        <v>1079</v>
      </c>
      <c r="C165" s="1">
        <v>0</v>
      </c>
    </row>
    <row r="166" spans="2:3" x14ac:dyDescent="0.2">
      <c r="B166" s="1" t="s">
        <v>695</v>
      </c>
      <c r="C166" s="1">
        <v>0</v>
      </c>
    </row>
    <row r="167" spans="2:3" x14ac:dyDescent="0.2">
      <c r="B167" s="1" t="s">
        <v>1080</v>
      </c>
      <c r="C167" s="1">
        <v>0</v>
      </c>
    </row>
    <row r="168" spans="2:3" x14ac:dyDescent="0.2">
      <c r="B168" s="1" t="s">
        <v>190</v>
      </c>
      <c r="C168" s="1">
        <v>0</v>
      </c>
    </row>
    <row r="169" spans="2:3" x14ac:dyDescent="0.2">
      <c r="B169" s="1" t="s">
        <v>1081</v>
      </c>
      <c r="C169" s="1">
        <v>0</v>
      </c>
    </row>
    <row r="170" spans="2:3" x14ac:dyDescent="0.2">
      <c r="B170" s="1" t="s">
        <v>1082</v>
      </c>
      <c r="C170" s="1">
        <v>0</v>
      </c>
    </row>
    <row r="171" spans="2:3" x14ac:dyDescent="0.2">
      <c r="B171" s="1" t="s">
        <v>1083</v>
      </c>
      <c r="C171" s="1">
        <v>0</v>
      </c>
    </row>
    <row r="172" spans="2:3" x14ac:dyDescent="0.2">
      <c r="B172" s="1" t="s">
        <v>1084</v>
      </c>
      <c r="C172" s="1">
        <v>0</v>
      </c>
    </row>
    <row r="173" spans="2:3" x14ac:dyDescent="0.2">
      <c r="B173" s="1" t="s">
        <v>1085</v>
      </c>
      <c r="C173" s="1">
        <v>0</v>
      </c>
    </row>
    <row r="174" spans="2:3" x14ac:dyDescent="0.2">
      <c r="B174" s="1" t="s">
        <v>698</v>
      </c>
      <c r="C174" s="1">
        <v>0</v>
      </c>
    </row>
    <row r="175" spans="2:3" x14ac:dyDescent="0.2">
      <c r="B175" s="1" t="s">
        <v>268</v>
      </c>
      <c r="C175" s="1">
        <v>0</v>
      </c>
    </row>
    <row r="176" spans="2:3" x14ac:dyDescent="0.2">
      <c r="B176" s="1" t="s">
        <v>1086</v>
      </c>
      <c r="C176" s="1">
        <v>0</v>
      </c>
    </row>
    <row r="177" spans="2:3" x14ac:dyDescent="0.2">
      <c r="B177" s="1" t="s">
        <v>1087</v>
      </c>
      <c r="C177" s="1">
        <v>0</v>
      </c>
    </row>
    <row r="178" spans="2:3" x14ac:dyDescent="0.2">
      <c r="B178" s="1" t="s">
        <v>1088</v>
      </c>
      <c r="C178" s="1">
        <v>0</v>
      </c>
    </row>
    <row r="179" spans="2:3" x14ac:dyDescent="0.2">
      <c r="B179" s="1" t="s">
        <v>286</v>
      </c>
      <c r="C179" s="1">
        <v>0</v>
      </c>
    </row>
    <row r="180" spans="2:3" x14ac:dyDescent="0.2">
      <c r="B180" s="1" t="s">
        <v>1089</v>
      </c>
      <c r="C180" s="1">
        <v>0</v>
      </c>
    </row>
    <row r="181" spans="2:3" x14ac:dyDescent="0.2">
      <c r="B181" s="1" t="s">
        <v>1090</v>
      </c>
      <c r="C181" s="1">
        <v>0</v>
      </c>
    </row>
    <row r="182" spans="2:3" x14ac:dyDescent="0.2">
      <c r="B182" s="1" t="s">
        <v>1091</v>
      </c>
      <c r="C182" s="1">
        <v>0</v>
      </c>
    </row>
    <row r="183" spans="2:3" x14ac:dyDescent="0.2">
      <c r="B183" s="1" t="s">
        <v>1092</v>
      </c>
      <c r="C183" s="1">
        <v>0</v>
      </c>
    </row>
    <row r="184" spans="2:3" x14ac:dyDescent="0.2">
      <c r="B184" s="1" t="s">
        <v>1093</v>
      </c>
      <c r="C184" s="1">
        <v>0</v>
      </c>
    </row>
    <row r="185" spans="2:3" x14ac:dyDescent="0.2">
      <c r="B185" s="1" t="s">
        <v>1094</v>
      </c>
      <c r="C185" s="1">
        <v>0</v>
      </c>
    </row>
    <row r="186" spans="2:3" x14ac:dyDescent="0.2">
      <c r="B186" s="1" t="s">
        <v>1095</v>
      </c>
      <c r="C186" s="1">
        <v>0</v>
      </c>
    </row>
    <row r="187" spans="2:3" x14ac:dyDescent="0.2">
      <c r="B187" s="1" t="s">
        <v>1096</v>
      </c>
      <c r="C187" s="1">
        <v>0</v>
      </c>
    </row>
    <row r="188" spans="2:3" x14ac:dyDescent="0.2">
      <c r="B188" s="1" t="s">
        <v>966</v>
      </c>
      <c r="C188" s="1">
        <v>0</v>
      </c>
    </row>
    <row r="189" spans="2:3" x14ac:dyDescent="0.2">
      <c r="B189" s="1" t="s">
        <v>1097</v>
      </c>
      <c r="C189" s="1">
        <v>0</v>
      </c>
    </row>
    <row r="190" spans="2:3" x14ac:dyDescent="0.2">
      <c r="B190" s="1" t="s">
        <v>1098</v>
      </c>
      <c r="C190" s="1">
        <v>0</v>
      </c>
    </row>
    <row r="191" spans="2:3" x14ac:dyDescent="0.2">
      <c r="B191" s="1" t="s">
        <v>1099</v>
      </c>
      <c r="C191" s="1">
        <v>0</v>
      </c>
    </row>
    <row r="192" spans="2:3" x14ac:dyDescent="0.2">
      <c r="B192" s="1" t="s">
        <v>1100</v>
      </c>
      <c r="C192" s="1">
        <v>0</v>
      </c>
    </row>
    <row r="193" spans="2:3" x14ac:dyDescent="0.2">
      <c r="B193" s="1" t="s">
        <v>1101</v>
      </c>
      <c r="C193" s="1">
        <v>0</v>
      </c>
    </row>
    <row r="194" spans="2:3" x14ac:dyDescent="0.2">
      <c r="B194" s="1" t="s">
        <v>15</v>
      </c>
      <c r="C194" s="1">
        <v>0</v>
      </c>
    </row>
    <row r="195" spans="2:3" x14ac:dyDescent="0.2">
      <c r="B195" s="1" t="s">
        <v>170</v>
      </c>
      <c r="C195" s="1">
        <v>0</v>
      </c>
    </row>
    <row r="196" spans="2:3" x14ac:dyDescent="0.2">
      <c r="B196" s="1" t="s">
        <v>1102</v>
      </c>
      <c r="C196" s="1">
        <v>0</v>
      </c>
    </row>
    <row r="197" spans="2:3" x14ac:dyDescent="0.2">
      <c r="B197" s="1" t="s">
        <v>1103</v>
      </c>
      <c r="C197" s="1">
        <v>0</v>
      </c>
    </row>
    <row r="198" spans="2:3" x14ac:dyDescent="0.2">
      <c r="B198" s="1" t="s">
        <v>1104</v>
      </c>
      <c r="C198" s="1">
        <v>0</v>
      </c>
    </row>
    <row r="199" spans="2:3" x14ac:dyDescent="0.2">
      <c r="B199" s="1" t="s">
        <v>1105</v>
      </c>
      <c r="C199" s="1">
        <v>0</v>
      </c>
    </row>
    <row r="200" spans="2:3" x14ac:dyDescent="0.2">
      <c r="B200" s="1" t="s">
        <v>1106</v>
      </c>
      <c r="C200" s="1">
        <v>0</v>
      </c>
    </row>
    <row r="201" spans="2:3" x14ac:dyDescent="0.2">
      <c r="B201" s="1" t="s">
        <v>1107</v>
      </c>
      <c r="C201" s="1">
        <v>0</v>
      </c>
    </row>
    <row r="202" spans="2:3" x14ac:dyDescent="0.2">
      <c r="B202" s="1" t="s">
        <v>270</v>
      </c>
      <c r="C202" s="1">
        <v>0</v>
      </c>
    </row>
    <row r="203" spans="2:3" x14ac:dyDescent="0.2">
      <c r="B203" s="1" t="s">
        <v>1108</v>
      </c>
      <c r="C203" s="1">
        <v>0</v>
      </c>
    </row>
    <row r="204" spans="2:3" x14ac:dyDescent="0.2">
      <c r="B204" s="1" t="s">
        <v>1109</v>
      </c>
      <c r="C204" s="1">
        <v>0</v>
      </c>
    </row>
    <row r="205" spans="2:3" x14ac:dyDescent="0.2">
      <c r="B205" s="1" t="s">
        <v>1110</v>
      </c>
      <c r="C205" s="1">
        <v>0</v>
      </c>
    </row>
    <row r="206" spans="2:3" x14ac:dyDescent="0.2">
      <c r="B206" s="1" t="s">
        <v>225</v>
      </c>
      <c r="C206" s="1">
        <v>0</v>
      </c>
    </row>
    <row r="207" spans="2:3" x14ac:dyDescent="0.2">
      <c r="B207" s="1" t="s">
        <v>1111</v>
      </c>
      <c r="C207" s="1">
        <v>0</v>
      </c>
    </row>
    <row r="208" spans="2:3" x14ac:dyDescent="0.2">
      <c r="B208" s="1" t="s">
        <v>55</v>
      </c>
      <c r="C208" s="1">
        <v>0</v>
      </c>
    </row>
    <row r="209" spans="2:3" x14ac:dyDescent="0.2">
      <c r="B209" s="1" t="s">
        <v>1112</v>
      </c>
      <c r="C209" s="1">
        <v>0</v>
      </c>
    </row>
    <row r="210" spans="2:3" x14ac:dyDescent="0.2">
      <c r="B210" s="1" t="s">
        <v>755</v>
      </c>
      <c r="C210" s="1">
        <v>0</v>
      </c>
    </row>
    <row r="211" spans="2:3" x14ac:dyDescent="0.2">
      <c r="B211" s="1" t="s">
        <v>211</v>
      </c>
      <c r="C211" s="1">
        <v>0</v>
      </c>
    </row>
    <row r="212" spans="2:3" x14ac:dyDescent="0.2">
      <c r="B212" s="1" t="s">
        <v>1113</v>
      </c>
      <c r="C212" s="1">
        <v>0</v>
      </c>
    </row>
    <row r="213" spans="2:3" x14ac:dyDescent="0.2">
      <c r="B213" s="1" t="s">
        <v>1114</v>
      </c>
      <c r="C213" s="1">
        <v>0</v>
      </c>
    </row>
    <row r="214" spans="2:3" x14ac:dyDescent="0.2">
      <c r="B214" s="1" t="s">
        <v>1115</v>
      </c>
      <c r="C214" s="1">
        <v>0</v>
      </c>
    </row>
    <row r="215" spans="2:3" x14ac:dyDescent="0.2">
      <c r="B215" s="1" t="s">
        <v>1116</v>
      </c>
      <c r="C215" s="1">
        <v>0</v>
      </c>
    </row>
    <row r="216" spans="2:3" x14ac:dyDescent="0.2">
      <c r="B216" s="1" t="s">
        <v>1117</v>
      </c>
      <c r="C216" s="1">
        <v>0</v>
      </c>
    </row>
    <row r="217" spans="2:3" x14ac:dyDescent="0.2">
      <c r="B217" s="1" t="s">
        <v>1118</v>
      </c>
      <c r="C217" s="1">
        <v>0</v>
      </c>
    </row>
    <row r="218" spans="2:3" x14ac:dyDescent="0.2">
      <c r="B218" s="1" t="s">
        <v>1119</v>
      </c>
      <c r="C218" s="1">
        <v>0</v>
      </c>
    </row>
    <row r="219" spans="2:3" x14ac:dyDescent="0.2">
      <c r="B219" s="1" t="s">
        <v>1120</v>
      </c>
      <c r="C219" s="1">
        <v>0</v>
      </c>
    </row>
    <row r="220" spans="2:3" x14ac:dyDescent="0.2">
      <c r="B220" s="1" t="s">
        <v>1121</v>
      </c>
      <c r="C220" s="1">
        <v>0</v>
      </c>
    </row>
    <row r="221" spans="2:3" x14ac:dyDescent="0.2">
      <c r="B221" s="1" t="s">
        <v>1122</v>
      </c>
      <c r="C221" s="1">
        <v>0</v>
      </c>
    </row>
    <row r="222" spans="2:3" x14ac:dyDescent="0.2">
      <c r="B222" s="1" t="s">
        <v>1123</v>
      </c>
      <c r="C222" s="1">
        <v>0</v>
      </c>
    </row>
    <row r="223" spans="2:3" x14ac:dyDescent="0.2">
      <c r="B223" s="1" t="s">
        <v>1124</v>
      </c>
      <c r="C223" s="1">
        <v>0</v>
      </c>
    </row>
    <row r="224" spans="2:3" x14ac:dyDescent="0.2">
      <c r="B224" s="1" t="s">
        <v>1125</v>
      </c>
      <c r="C224" s="1">
        <v>0</v>
      </c>
    </row>
    <row r="225" spans="2:3" x14ac:dyDescent="0.2">
      <c r="B225" s="1" t="s">
        <v>1126</v>
      </c>
      <c r="C225" s="1">
        <v>0</v>
      </c>
    </row>
    <row r="226" spans="2:3" x14ac:dyDescent="0.2">
      <c r="B226" s="1" t="s">
        <v>772</v>
      </c>
      <c r="C226" s="1">
        <v>0</v>
      </c>
    </row>
    <row r="227" spans="2:3" x14ac:dyDescent="0.2">
      <c r="B227" s="1" t="s">
        <v>1127</v>
      </c>
      <c r="C227" s="1">
        <v>0</v>
      </c>
    </row>
    <row r="228" spans="2:3" x14ac:dyDescent="0.2">
      <c r="B228" s="1" t="s">
        <v>1128</v>
      </c>
      <c r="C228" s="1">
        <v>0</v>
      </c>
    </row>
    <row r="229" spans="2:3" x14ac:dyDescent="0.2">
      <c r="B229" s="1" t="s">
        <v>1129</v>
      </c>
      <c r="C229" s="1">
        <v>0</v>
      </c>
    </row>
    <row r="230" spans="2:3" x14ac:dyDescent="0.2">
      <c r="B230" s="1" t="s">
        <v>1130</v>
      </c>
      <c r="C230" s="1">
        <v>0</v>
      </c>
    </row>
    <row r="231" spans="2:3" x14ac:dyDescent="0.2">
      <c r="B231" s="1" t="s">
        <v>1131</v>
      </c>
      <c r="C231" s="1">
        <v>0</v>
      </c>
    </row>
    <row r="232" spans="2:3" x14ac:dyDescent="0.2">
      <c r="B232" s="1" t="s">
        <v>282</v>
      </c>
      <c r="C232" s="1">
        <v>0</v>
      </c>
    </row>
    <row r="233" spans="2:3" x14ac:dyDescent="0.2">
      <c r="B233" s="1" t="s">
        <v>1132</v>
      </c>
      <c r="C233" s="1">
        <v>0</v>
      </c>
    </row>
    <row r="234" spans="2:3" x14ac:dyDescent="0.2">
      <c r="B234" s="1" t="s">
        <v>242</v>
      </c>
      <c r="C234" s="1">
        <v>0</v>
      </c>
    </row>
    <row r="235" spans="2:3" x14ac:dyDescent="0.2">
      <c r="B235" s="1" t="s">
        <v>1133</v>
      </c>
      <c r="C235" s="1">
        <v>0</v>
      </c>
    </row>
    <row r="236" spans="2:3" x14ac:dyDescent="0.2">
      <c r="B236" s="1" t="s">
        <v>1134</v>
      </c>
      <c r="C236" s="1">
        <v>0</v>
      </c>
    </row>
    <row r="237" spans="2:3" x14ac:dyDescent="0.2">
      <c r="B237" s="1" t="s">
        <v>1135</v>
      </c>
      <c r="C237" s="1">
        <v>0</v>
      </c>
    </row>
    <row r="238" spans="2:3" x14ac:dyDescent="0.2">
      <c r="B238" s="1" t="s">
        <v>1136</v>
      </c>
      <c r="C238" s="1">
        <v>0</v>
      </c>
    </row>
    <row r="239" spans="2:3" x14ac:dyDescent="0.2">
      <c r="B239" s="1" t="s">
        <v>790</v>
      </c>
      <c r="C239" s="1">
        <v>0</v>
      </c>
    </row>
    <row r="240" spans="2:3" x14ac:dyDescent="0.2">
      <c r="B240" s="1" t="s">
        <v>1137</v>
      </c>
      <c r="C240" s="1">
        <v>0</v>
      </c>
    </row>
    <row r="241" spans="2:3" x14ac:dyDescent="0.2">
      <c r="B241" s="1" t="s">
        <v>1138</v>
      </c>
      <c r="C241" s="1">
        <v>0</v>
      </c>
    </row>
    <row r="242" spans="2:3" x14ac:dyDescent="0.2">
      <c r="B242" s="1" t="s">
        <v>1139</v>
      </c>
      <c r="C242" s="1">
        <v>0</v>
      </c>
    </row>
    <row r="243" spans="2:3" x14ac:dyDescent="0.2">
      <c r="B243" s="1" t="s">
        <v>1140</v>
      </c>
      <c r="C243" s="1">
        <v>0</v>
      </c>
    </row>
    <row r="244" spans="2:3" x14ac:dyDescent="0.2">
      <c r="B244" s="1" t="s">
        <v>1141</v>
      </c>
      <c r="C244" s="1">
        <v>0</v>
      </c>
    </row>
    <row r="245" spans="2:3" x14ac:dyDescent="0.2">
      <c r="B245" s="1" t="s">
        <v>1142</v>
      </c>
      <c r="C245" s="1">
        <v>0</v>
      </c>
    </row>
    <row r="246" spans="2:3" x14ac:dyDescent="0.2">
      <c r="B246" s="1" t="s">
        <v>795</v>
      </c>
      <c r="C246" s="1">
        <v>0</v>
      </c>
    </row>
    <row r="247" spans="2:3" x14ac:dyDescent="0.2">
      <c r="B247" s="1" t="s">
        <v>796</v>
      </c>
      <c r="C247" s="1">
        <v>0</v>
      </c>
    </row>
    <row r="248" spans="2:3" x14ac:dyDescent="0.2">
      <c r="B248" s="1" t="s">
        <v>1143</v>
      </c>
      <c r="C248" s="1">
        <v>0</v>
      </c>
    </row>
    <row r="249" spans="2:3" x14ac:dyDescent="0.2">
      <c r="B249" s="1" t="s">
        <v>161</v>
      </c>
      <c r="C249" s="1">
        <v>0</v>
      </c>
    </row>
    <row r="250" spans="2:3" x14ac:dyDescent="0.2">
      <c r="B250" s="1" t="s">
        <v>1144</v>
      </c>
      <c r="C250" s="1">
        <v>0</v>
      </c>
    </row>
    <row r="251" spans="2:3" x14ac:dyDescent="0.2">
      <c r="B251" s="1" t="s">
        <v>1145</v>
      </c>
      <c r="C251" s="1">
        <v>0</v>
      </c>
    </row>
    <row r="252" spans="2:3" x14ac:dyDescent="0.2">
      <c r="B252" s="1" t="s">
        <v>1146</v>
      </c>
      <c r="C252" s="1">
        <v>0</v>
      </c>
    </row>
    <row r="253" spans="2:3" x14ac:dyDescent="0.2">
      <c r="B253" s="1" t="s">
        <v>1147</v>
      </c>
      <c r="C253" s="1">
        <v>0</v>
      </c>
    </row>
    <row r="254" spans="2:3" x14ac:dyDescent="0.2">
      <c r="B254" s="1" t="s">
        <v>1148</v>
      </c>
      <c r="C254" s="1">
        <v>0</v>
      </c>
    </row>
    <row r="255" spans="2:3" x14ac:dyDescent="0.2">
      <c r="B255" s="1" t="s">
        <v>1149</v>
      </c>
      <c r="C255" s="1">
        <v>0</v>
      </c>
    </row>
    <row r="256" spans="2:3" x14ac:dyDescent="0.2">
      <c r="B256" s="1" t="s">
        <v>1150</v>
      </c>
      <c r="C256" s="1">
        <v>0</v>
      </c>
    </row>
    <row r="257" spans="2:3" x14ac:dyDescent="0.2">
      <c r="B257" s="1" t="s">
        <v>1151</v>
      </c>
      <c r="C257" s="1">
        <v>0</v>
      </c>
    </row>
    <row r="258" spans="2:3" x14ac:dyDescent="0.2">
      <c r="B258" s="1" t="s">
        <v>1152</v>
      </c>
      <c r="C258" s="1">
        <v>0</v>
      </c>
    </row>
    <row r="259" spans="2:3" x14ac:dyDescent="0.2">
      <c r="B259" s="1" t="s">
        <v>289</v>
      </c>
      <c r="C259" s="1">
        <v>0</v>
      </c>
    </row>
    <row r="260" spans="2:3" x14ac:dyDescent="0.2">
      <c r="B260" s="1" t="s">
        <v>1153</v>
      </c>
      <c r="C260" s="1">
        <v>0</v>
      </c>
    </row>
    <row r="261" spans="2:3" x14ac:dyDescent="0.2">
      <c r="B261" s="1" t="s">
        <v>825</v>
      </c>
      <c r="C261" s="1">
        <v>0</v>
      </c>
    </row>
    <row r="262" spans="2:3" x14ac:dyDescent="0.2">
      <c r="B262" s="1" t="s">
        <v>1154</v>
      </c>
      <c r="C262" s="1">
        <v>0</v>
      </c>
    </row>
    <row r="263" spans="2:3" x14ac:dyDescent="0.2">
      <c r="B263" s="1" t="s">
        <v>1155</v>
      </c>
      <c r="C263" s="1">
        <v>0</v>
      </c>
    </row>
    <row r="264" spans="2:3" x14ac:dyDescent="0.2">
      <c r="B264" s="1" t="s">
        <v>1156</v>
      </c>
      <c r="C264" s="1">
        <v>0</v>
      </c>
    </row>
    <row r="265" spans="2:3" x14ac:dyDescent="0.2">
      <c r="B265" s="1" t="s">
        <v>1157</v>
      </c>
      <c r="C265" s="1">
        <v>0</v>
      </c>
    </row>
    <row r="266" spans="2:3" x14ac:dyDescent="0.2">
      <c r="B266" s="1" t="s">
        <v>1158</v>
      </c>
      <c r="C266" s="1">
        <v>0</v>
      </c>
    </row>
    <row r="267" spans="2:3" x14ac:dyDescent="0.2">
      <c r="B267" s="1" t="s">
        <v>835</v>
      </c>
      <c r="C267" s="1">
        <v>0</v>
      </c>
    </row>
    <row r="268" spans="2:3" x14ac:dyDescent="0.2">
      <c r="B268" s="1" t="s">
        <v>1159</v>
      </c>
      <c r="C268" s="1">
        <v>0</v>
      </c>
    </row>
    <row r="269" spans="2:3" x14ac:dyDescent="0.2">
      <c r="B269" s="1" t="s">
        <v>1160</v>
      </c>
      <c r="C269" s="1">
        <v>0</v>
      </c>
    </row>
    <row r="270" spans="2:3" x14ac:dyDescent="0.2">
      <c r="B270" s="1" t="s">
        <v>149</v>
      </c>
      <c r="C270" s="1">
        <v>0</v>
      </c>
    </row>
    <row r="271" spans="2:3" x14ac:dyDescent="0.2">
      <c r="B271" s="1" t="s">
        <v>1161</v>
      </c>
      <c r="C271" s="1">
        <v>0</v>
      </c>
    </row>
    <row r="272" spans="2:3" x14ac:dyDescent="0.2">
      <c r="B272" s="1" t="s">
        <v>1162</v>
      </c>
      <c r="C272" s="1">
        <v>0</v>
      </c>
    </row>
    <row r="273" spans="2:3" x14ac:dyDescent="0.2">
      <c r="B273" s="1" t="s">
        <v>1163</v>
      </c>
      <c r="C273" s="1">
        <v>0</v>
      </c>
    </row>
    <row r="274" spans="2:3" x14ac:dyDescent="0.2">
      <c r="B274" s="1" t="s">
        <v>178</v>
      </c>
      <c r="C274" s="1">
        <v>0</v>
      </c>
    </row>
    <row r="275" spans="2:3" x14ac:dyDescent="0.2">
      <c r="B275" s="1" t="s">
        <v>1164</v>
      </c>
      <c r="C275" s="1">
        <v>0</v>
      </c>
    </row>
    <row r="276" spans="2:3" x14ac:dyDescent="0.2">
      <c r="B276" s="1" t="s">
        <v>1165</v>
      </c>
      <c r="C276" s="1">
        <v>0</v>
      </c>
    </row>
    <row r="277" spans="2:3" x14ac:dyDescent="0.2">
      <c r="B277" s="1" t="s">
        <v>849</v>
      </c>
      <c r="C277" s="1">
        <v>0</v>
      </c>
    </row>
    <row r="278" spans="2:3" x14ac:dyDescent="0.2">
      <c r="B278" s="1" t="s">
        <v>280</v>
      </c>
      <c r="C278" s="1">
        <v>0</v>
      </c>
    </row>
    <row r="279" spans="2:3" x14ac:dyDescent="0.2">
      <c r="B279" s="1" t="s">
        <v>1166</v>
      </c>
      <c r="C279" s="1">
        <v>0</v>
      </c>
    </row>
    <row r="280" spans="2:3" x14ac:dyDescent="0.2">
      <c r="B280" s="1" t="s">
        <v>1167</v>
      </c>
      <c r="C280" s="1">
        <v>0</v>
      </c>
    </row>
    <row r="281" spans="2:3" x14ac:dyDescent="0.2">
      <c r="B281" s="1" t="s">
        <v>1168</v>
      </c>
      <c r="C281" s="1">
        <v>0</v>
      </c>
    </row>
    <row r="282" spans="2:3" x14ac:dyDescent="0.2">
      <c r="B282" s="1" t="s">
        <v>857</v>
      </c>
      <c r="C282" s="1">
        <v>0</v>
      </c>
    </row>
    <row r="283" spans="2:3" x14ac:dyDescent="0.2">
      <c r="B283" s="1" t="s">
        <v>1169</v>
      </c>
      <c r="C283" s="1">
        <v>0</v>
      </c>
    </row>
    <row r="284" spans="2:3" x14ac:dyDescent="0.2">
      <c r="B284" s="1" t="s">
        <v>1170</v>
      </c>
      <c r="C284" s="1">
        <v>0</v>
      </c>
    </row>
    <row r="285" spans="2:3" x14ac:dyDescent="0.2">
      <c r="B285" s="1" t="s">
        <v>1171</v>
      </c>
      <c r="C285" s="1">
        <v>0</v>
      </c>
    </row>
    <row r="286" spans="2:3" x14ac:dyDescent="0.2">
      <c r="B286" s="1" t="s">
        <v>151</v>
      </c>
      <c r="C286" s="1">
        <v>0</v>
      </c>
    </row>
    <row r="287" spans="2:3" x14ac:dyDescent="0.2">
      <c r="B287" s="1" t="s">
        <v>866</v>
      </c>
      <c r="C287" s="1">
        <v>0</v>
      </c>
    </row>
    <row r="288" spans="2:3" x14ac:dyDescent="0.2">
      <c r="B288" s="1" t="s">
        <v>1172</v>
      </c>
      <c r="C288" s="1">
        <v>0</v>
      </c>
    </row>
    <row r="289" spans="2:3" x14ac:dyDescent="0.2">
      <c r="B289" s="1" t="s">
        <v>1173</v>
      </c>
      <c r="C289" s="1">
        <v>0</v>
      </c>
    </row>
    <row r="290" spans="2:3" x14ac:dyDescent="0.2">
      <c r="B290" s="1" t="s">
        <v>1174</v>
      </c>
      <c r="C290" s="1">
        <v>0</v>
      </c>
    </row>
    <row r="291" spans="2:3" x14ac:dyDescent="0.2">
      <c r="B291" s="1" t="s">
        <v>1175</v>
      </c>
      <c r="C291" s="1">
        <v>0</v>
      </c>
    </row>
    <row r="292" spans="2:3" x14ac:dyDescent="0.2">
      <c r="B292" s="1" t="s">
        <v>1176</v>
      </c>
      <c r="C292" s="1">
        <v>0</v>
      </c>
    </row>
    <row r="293" spans="2:3" x14ac:dyDescent="0.2">
      <c r="B293" s="1" t="s">
        <v>252</v>
      </c>
      <c r="C293" s="1">
        <v>0</v>
      </c>
    </row>
    <row r="294" spans="2:3" x14ac:dyDescent="0.2">
      <c r="B294" s="1" t="s">
        <v>205</v>
      </c>
      <c r="C294" s="1">
        <v>0</v>
      </c>
    </row>
    <row r="295" spans="2:3" x14ac:dyDescent="0.2">
      <c r="B295" s="1" t="s">
        <v>1177</v>
      </c>
      <c r="C295" s="1">
        <v>0</v>
      </c>
    </row>
    <row r="296" spans="2:3" x14ac:dyDescent="0.2">
      <c r="B296" s="1" t="s">
        <v>167</v>
      </c>
      <c r="C296" s="1">
        <v>0</v>
      </c>
    </row>
    <row r="297" spans="2:3" x14ac:dyDescent="0.2">
      <c r="B297" s="1" t="s">
        <v>1178</v>
      </c>
      <c r="C297" s="1">
        <v>0</v>
      </c>
    </row>
    <row r="298" spans="2:3" x14ac:dyDescent="0.2">
      <c r="B298" s="1" t="s">
        <v>1179</v>
      </c>
      <c r="C298" s="1">
        <v>0</v>
      </c>
    </row>
    <row r="299" spans="2:3" x14ac:dyDescent="0.2">
      <c r="B299" s="1" t="s">
        <v>1180</v>
      </c>
      <c r="C299" s="1">
        <v>0</v>
      </c>
    </row>
    <row r="300" spans="2:3" x14ac:dyDescent="0.2">
      <c r="B300" s="1" t="s">
        <v>1181</v>
      </c>
      <c r="C300" s="1">
        <v>0</v>
      </c>
    </row>
    <row r="301" spans="2:3" x14ac:dyDescent="0.2">
      <c r="B301" s="1" t="s">
        <v>1182</v>
      </c>
      <c r="C301" s="1">
        <v>0</v>
      </c>
    </row>
    <row r="302" spans="2:3" x14ac:dyDescent="0.2">
      <c r="B302" s="1" t="s">
        <v>257</v>
      </c>
      <c r="C302" s="1">
        <v>0</v>
      </c>
    </row>
    <row r="303" spans="2:3" x14ac:dyDescent="0.2">
      <c r="B303" s="1" t="s">
        <v>1183</v>
      </c>
      <c r="C303" s="1">
        <v>0</v>
      </c>
    </row>
    <row r="304" spans="2:3" x14ac:dyDescent="0.2">
      <c r="B304" s="1" t="s">
        <v>1184</v>
      </c>
      <c r="C304" s="1">
        <v>0</v>
      </c>
    </row>
    <row r="305" spans="2:3" x14ac:dyDescent="0.2">
      <c r="B305" s="1" t="s">
        <v>1185</v>
      </c>
      <c r="C305" s="1">
        <v>0</v>
      </c>
    </row>
    <row r="306" spans="2:3" x14ac:dyDescent="0.2">
      <c r="B306" s="1" t="s">
        <v>1186</v>
      </c>
      <c r="C306" s="1">
        <v>0</v>
      </c>
    </row>
    <row r="307" spans="2:3" x14ac:dyDescent="0.2">
      <c r="B307" s="1" t="s">
        <v>1187</v>
      </c>
      <c r="C307" s="1">
        <v>0</v>
      </c>
    </row>
    <row r="308" spans="2:3" x14ac:dyDescent="0.2">
      <c r="B308" s="1" t="s">
        <v>907</v>
      </c>
      <c r="C308" s="1">
        <v>0</v>
      </c>
    </row>
    <row r="309" spans="2:3" x14ac:dyDescent="0.2">
      <c r="B309" s="1" t="s">
        <v>1188</v>
      </c>
      <c r="C309" s="1">
        <v>0</v>
      </c>
    </row>
    <row r="310" spans="2:3" x14ac:dyDescent="0.2">
      <c r="B310" s="1" t="s">
        <v>1189</v>
      </c>
      <c r="C310" s="1">
        <v>0</v>
      </c>
    </row>
    <row r="311" spans="2:3" x14ac:dyDescent="0.2">
      <c r="B311" s="1" t="s">
        <v>297</v>
      </c>
      <c r="C311" s="1">
        <v>0</v>
      </c>
    </row>
    <row r="312" spans="2:3" x14ac:dyDescent="0.2">
      <c r="B312" s="1" t="s">
        <v>1190</v>
      </c>
      <c r="C312" s="1">
        <v>0</v>
      </c>
    </row>
    <row r="313" spans="2:3" x14ac:dyDescent="0.2">
      <c r="B313" s="1" t="s">
        <v>154</v>
      </c>
      <c r="C313" s="1">
        <v>0</v>
      </c>
    </row>
    <row r="314" spans="2:3" x14ac:dyDescent="0.2">
      <c r="B314" s="1" t="s">
        <v>1191</v>
      </c>
      <c r="C314" s="1">
        <v>0</v>
      </c>
    </row>
    <row r="315" spans="2:3" x14ac:dyDescent="0.2">
      <c r="B315" s="1" t="s">
        <v>1192</v>
      </c>
      <c r="C315" s="1">
        <v>0</v>
      </c>
    </row>
    <row r="316" spans="2:3" x14ac:dyDescent="0.2">
      <c r="B316" s="1" t="s">
        <v>1193</v>
      </c>
      <c r="C316" s="1">
        <v>0</v>
      </c>
    </row>
    <row r="317" spans="2:3" x14ac:dyDescent="0.2">
      <c r="B317" s="1" t="s">
        <v>255</v>
      </c>
      <c r="C317" s="1">
        <v>0</v>
      </c>
    </row>
    <row r="318" spans="2:3" x14ac:dyDescent="0.2">
      <c r="B318" s="1" t="s">
        <v>1194</v>
      </c>
      <c r="C318" s="1">
        <v>0</v>
      </c>
    </row>
    <row r="319" spans="2:3" x14ac:dyDescent="0.2">
      <c r="B319" s="1" t="s">
        <v>1195</v>
      </c>
      <c r="C319" s="1">
        <v>0</v>
      </c>
    </row>
    <row r="320" spans="2:3" x14ac:dyDescent="0.2">
      <c r="B320" s="1" t="s">
        <v>1196</v>
      </c>
      <c r="C320" s="1">
        <v>0</v>
      </c>
    </row>
    <row r="321" spans="2:3" x14ac:dyDescent="0.2">
      <c r="B321" s="1" t="s">
        <v>1197</v>
      </c>
      <c r="C321" s="1">
        <v>0</v>
      </c>
    </row>
    <row r="322" spans="2:3" x14ac:dyDescent="0.2">
      <c r="B322" s="1" t="s">
        <v>1198</v>
      </c>
      <c r="C322" s="1">
        <v>0</v>
      </c>
    </row>
    <row r="323" spans="2:3" x14ac:dyDescent="0.2">
      <c r="B323" s="1" t="s">
        <v>1199</v>
      </c>
      <c r="C323" s="1">
        <v>0</v>
      </c>
    </row>
    <row r="324" spans="2:3" x14ac:dyDescent="0.2">
      <c r="B324" s="1" t="s">
        <v>929</v>
      </c>
      <c r="C324" s="1">
        <v>0</v>
      </c>
    </row>
    <row r="325" spans="2:3" x14ac:dyDescent="0.2">
      <c r="B325" s="1" t="s">
        <v>1200</v>
      </c>
      <c r="C325" s="1">
        <v>0</v>
      </c>
    </row>
    <row r="326" spans="2:3" x14ac:dyDescent="0.2">
      <c r="B326" s="1" t="s">
        <v>1201</v>
      </c>
      <c r="C326" s="1">
        <v>0</v>
      </c>
    </row>
    <row r="327" spans="2:3" x14ac:dyDescent="0.2">
      <c r="B327" s="1" t="s">
        <v>1202</v>
      </c>
      <c r="C327" s="1">
        <v>0</v>
      </c>
    </row>
    <row r="328" spans="2:3" x14ac:dyDescent="0.2">
      <c r="B328" s="1" t="s">
        <v>1203</v>
      </c>
      <c r="C328" s="1">
        <v>0</v>
      </c>
    </row>
    <row r="329" spans="2:3" x14ac:dyDescent="0.2">
      <c r="B329" s="1" t="s">
        <v>1204</v>
      </c>
      <c r="C329" s="1">
        <v>0</v>
      </c>
    </row>
    <row r="330" spans="2:3" x14ac:dyDescent="0.2">
      <c r="B330" s="1" t="s">
        <v>1205</v>
      </c>
      <c r="C330" s="1">
        <v>0</v>
      </c>
    </row>
    <row r="331" spans="2:3" x14ac:dyDescent="0.2">
      <c r="B331" s="1" t="s">
        <v>1206</v>
      </c>
      <c r="C331" s="1">
        <v>0</v>
      </c>
    </row>
    <row r="332" spans="2:3" x14ac:dyDescent="0.2">
      <c r="B332" s="1" t="s">
        <v>1207</v>
      </c>
      <c r="C332" s="1">
        <v>0</v>
      </c>
    </row>
    <row r="333" spans="2:3" x14ac:dyDescent="0.2">
      <c r="B333" s="1" t="s">
        <v>1208</v>
      </c>
      <c r="C333" s="1">
        <v>0</v>
      </c>
    </row>
    <row r="334" spans="2:3" x14ac:dyDescent="0.2">
      <c r="B334" s="1" t="s">
        <v>1209</v>
      </c>
      <c r="C334" s="1">
        <v>0</v>
      </c>
    </row>
    <row r="335" spans="2:3" x14ac:dyDescent="0.2">
      <c r="B335" s="1" t="s">
        <v>940</v>
      </c>
      <c r="C335" s="1">
        <v>0</v>
      </c>
    </row>
    <row r="336" spans="2:3" x14ac:dyDescent="0.2">
      <c r="B336" s="1" t="s">
        <v>1210</v>
      </c>
      <c r="C336" s="1">
        <v>0</v>
      </c>
    </row>
    <row r="337" spans="2:3" x14ac:dyDescent="0.2">
      <c r="B337" s="1" t="s">
        <v>264</v>
      </c>
      <c r="C337" s="1">
        <v>0</v>
      </c>
    </row>
    <row r="338" spans="2:3" x14ac:dyDescent="0.2">
      <c r="B338" s="1" t="s">
        <v>1211</v>
      </c>
      <c r="C338" s="1">
        <v>0</v>
      </c>
    </row>
    <row r="339" spans="2:3" x14ac:dyDescent="0.2">
      <c r="B339" s="1" t="s">
        <v>1212</v>
      </c>
      <c r="C339" s="1">
        <v>0</v>
      </c>
    </row>
    <row r="340" spans="2:3" x14ac:dyDescent="0.2">
      <c r="B340" s="1" t="s">
        <v>1213</v>
      </c>
      <c r="C340" s="1">
        <v>0</v>
      </c>
    </row>
    <row r="341" spans="2:3" x14ac:dyDescent="0.2">
      <c r="B341" s="1" t="s">
        <v>197</v>
      </c>
      <c r="C341" s="1">
        <v>0</v>
      </c>
    </row>
    <row r="342" spans="2:3" x14ac:dyDescent="0.2">
      <c r="B342" s="1" t="s">
        <v>1214</v>
      </c>
      <c r="C342" s="1">
        <v>0</v>
      </c>
    </row>
    <row r="343" spans="2:3" x14ac:dyDescent="0.2">
      <c r="B343" s="1" t="s">
        <v>1215</v>
      </c>
      <c r="C343" s="1">
        <v>0</v>
      </c>
    </row>
    <row r="344" spans="2:3" x14ac:dyDescent="0.2">
      <c r="B344" s="1" t="s">
        <v>203</v>
      </c>
      <c r="C344" s="1">
        <v>0</v>
      </c>
    </row>
    <row r="345" spans="2:3" x14ac:dyDescent="0.2">
      <c r="B345" s="1" t="s">
        <v>1216</v>
      </c>
      <c r="C345" s="1">
        <v>0</v>
      </c>
    </row>
    <row r="346" spans="2:3" x14ac:dyDescent="0.2">
      <c r="B346" s="1" t="s">
        <v>1217</v>
      </c>
      <c r="C346" s="1">
        <v>0</v>
      </c>
    </row>
    <row r="347" spans="2:3" x14ac:dyDescent="0.2">
      <c r="B347" s="1" t="s">
        <v>1218</v>
      </c>
      <c r="C347" s="1">
        <v>0</v>
      </c>
    </row>
    <row r="348" spans="2:3" x14ac:dyDescent="0.2">
      <c r="B348" s="1" t="s">
        <v>1219</v>
      </c>
      <c r="C348" s="1">
        <v>0</v>
      </c>
    </row>
    <row r="349" spans="2:3" x14ac:dyDescent="0.2">
      <c r="B349" s="1" t="s">
        <v>1220</v>
      </c>
      <c r="C349" s="1">
        <v>0</v>
      </c>
    </row>
    <row r="350" spans="2:3" x14ac:dyDescent="0.2">
      <c r="B350" s="1" t="s">
        <v>1221</v>
      </c>
      <c r="C350" s="1">
        <v>0</v>
      </c>
    </row>
    <row r="351" spans="2:3" x14ac:dyDescent="0.2">
      <c r="B351" s="1" t="s">
        <v>1222</v>
      </c>
      <c r="C351" s="1">
        <v>0</v>
      </c>
    </row>
    <row r="352" spans="2:3" x14ac:dyDescent="0.2">
      <c r="B352" s="1" t="s">
        <v>1223</v>
      </c>
      <c r="C352" s="1">
        <v>0</v>
      </c>
    </row>
    <row r="353" spans="2:3" x14ac:dyDescent="0.2">
      <c r="B353" s="1" t="s">
        <v>1224</v>
      </c>
      <c r="C353" s="1">
        <v>0</v>
      </c>
    </row>
    <row r="354" spans="2:3" x14ac:dyDescent="0.2">
      <c r="B354" s="1" t="s">
        <v>1225</v>
      </c>
      <c r="C354" s="1">
        <v>0</v>
      </c>
    </row>
    <row r="355" spans="2:3" x14ac:dyDescent="0.2">
      <c r="B355" s="1" t="s">
        <v>188</v>
      </c>
      <c r="C355" s="1">
        <v>0</v>
      </c>
    </row>
    <row r="356" spans="2:3" x14ac:dyDescent="0.2">
      <c r="B356" s="1" t="s">
        <v>160</v>
      </c>
      <c r="C356" s="1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14</vt:i4>
      </vt:variant>
      <vt:variant>
        <vt:lpstr>Benoemde bereiken</vt:lpstr>
      </vt:variant>
      <vt:variant>
        <vt:i4>27</vt:i4>
      </vt:variant>
    </vt:vector>
  </HeadingPairs>
  <TitlesOfParts>
    <vt:vector size="41" baseType="lpstr">
      <vt:lpstr>FORMULAS</vt:lpstr>
      <vt:lpstr>RATES_MACRO</vt:lpstr>
      <vt:lpstr>Binance</vt:lpstr>
      <vt:lpstr>Bitfinex</vt:lpstr>
      <vt:lpstr>Bitstamp</vt:lpstr>
      <vt:lpstr>Bittrex</vt:lpstr>
      <vt:lpstr>Coinbase</vt:lpstr>
      <vt:lpstr>CoinbasePro</vt:lpstr>
      <vt:lpstr>Coinone</vt:lpstr>
      <vt:lpstr>Coinspot</vt:lpstr>
      <vt:lpstr>HitBTC</vt:lpstr>
      <vt:lpstr>Kraken</vt:lpstr>
      <vt:lpstr>Kucoin</vt:lpstr>
      <vt:lpstr>Poloniex</vt:lpstr>
      <vt:lpstr>apikey_binance</vt:lpstr>
      <vt:lpstr>apikey_bitfinex</vt:lpstr>
      <vt:lpstr>apikey_bitstamp</vt:lpstr>
      <vt:lpstr>apikey_bittrex</vt:lpstr>
      <vt:lpstr>apikey_coinbase</vt:lpstr>
      <vt:lpstr>apikey_coinbase_pro</vt:lpstr>
      <vt:lpstr>apikey_coinone</vt:lpstr>
      <vt:lpstr>apikey_coinspot</vt:lpstr>
      <vt:lpstr>apikey_hitbtc</vt:lpstr>
      <vt:lpstr>apikey_kraken</vt:lpstr>
      <vt:lpstr>apikey_kucoin</vt:lpstr>
      <vt:lpstr>apikey_poloniex</vt:lpstr>
      <vt:lpstr>customer_id_bitstamp</vt:lpstr>
      <vt:lpstr>passphrase_coinbase_pro</vt:lpstr>
      <vt:lpstr>passphrase_kucoin</vt:lpstr>
      <vt:lpstr>secretkey_binance</vt:lpstr>
      <vt:lpstr>secretkey_bitfinex</vt:lpstr>
      <vt:lpstr>secretkey_bitstamp</vt:lpstr>
      <vt:lpstr>secretkey_bittrex</vt:lpstr>
      <vt:lpstr>secretkey_coinbase</vt:lpstr>
      <vt:lpstr>secretkey_coinbase_pro</vt:lpstr>
      <vt:lpstr>secretkey_coinone</vt:lpstr>
      <vt:lpstr>secretkey_coinspot</vt:lpstr>
      <vt:lpstr>secretkey_hitbtc</vt:lpstr>
      <vt:lpstr>secretkey_kraken</vt:lpstr>
      <vt:lpstr>secretkey_kucoin</vt:lpstr>
      <vt:lpstr>secretkey_poloniex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2019-06-17T11:17:38Z</dcterms:modified>
</cp:coreProperties>
</file>