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2="http://schemas.microsoft.com/office/spreadsheetml/2015/revision2" mc:Ignorable="x15 xr2">
  <fileVersion appName="xl" lastEdited="7" lowestEdited="6" rupBuild="18730" codeName="{91B80F79-697F-C00D-A1F8-6C9A07846A5C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Castoro\Documents\GitHub\crypto_vba\"/>
    </mc:Choice>
  </mc:AlternateContent>
  <bookViews>
    <workbookView xWindow="0" yWindow="0" windowWidth="17256" windowHeight="5928" activeTab="3" xr2:uid="{00000000-000D-0000-FFFF-FFFF00000000}"/>
  </bookViews>
  <sheets>
    <sheet name="KRAKEN" sheetId="1" r:id="rId1"/>
    <sheet name="Bittrex" sheetId="3" r:id="rId2"/>
    <sheet name="Binance" sheetId="8" r:id="rId3"/>
    <sheet name="Poloniex" sheetId="4" r:id="rId4"/>
    <sheet name="WEXnz" sheetId="2" r:id="rId5"/>
    <sheet name="Cryptopia" sheetId="7" r:id="rId6"/>
    <sheet name="Liqui" sheetId="5" r:id="rId7"/>
    <sheet name="Coinone" sheetId="6" r:id="rId8"/>
  </sheets>
  <functionGroups builtInGroupCount="19"/>
  <definedNames>
    <definedName name="apikey_binance">Binance!$C$2</definedName>
    <definedName name="apikey_bittrex">Bittrex!$C$2</definedName>
    <definedName name="apikey_btce">WEXnz!$C$2</definedName>
    <definedName name="apikey_coinone">Coinone!$C$2</definedName>
    <definedName name="apikey_cryptopia">Cryptopia!$C$2</definedName>
    <definedName name="apikey_kraken">KRAKEN!$C$2</definedName>
    <definedName name="apikey_liqui">Liqui!$C$2</definedName>
    <definedName name="apikey_poloniex">Poloniex!$C$2</definedName>
    <definedName name="apikey_wexnz">WEXnz!$C$2</definedName>
    <definedName name="secretkey_binance">Binance!$C$3</definedName>
    <definedName name="secretkey_bittrex">Bittrex!$C$3</definedName>
    <definedName name="secretkey_btce">WEXnz!$C$3</definedName>
    <definedName name="secretkey_coinone">Coinone!$C$3</definedName>
    <definedName name="secretkey_cryptopia">Cryptopia!$C$3</definedName>
    <definedName name="secretkey_kraken">KRAKEN!$C$3</definedName>
    <definedName name="secretkey_liqui">Liqui!$C$3</definedName>
    <definedName name="secretkey_poloniex">Poloniex!$C$3</definedName>
    <definedName name="secretkey_wexnz">WEXnz!$C$3</definedName>
  </definedNames>
  <calcPr calcId="171027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12" i="8" l="1"/>
  <c r="L31" i="2"/>
  <c r="K38" i="2"/>
  <c r="K37" i="2"/>
  <c r="L32" i="2"/>
</calcChain>
</file>

<file path=xl/sharedStrings.xml><?xml version="1.0" encoding="utf-8"?>
<sst xmlns="http://schemas.openxmlformats.org/spreadsheetml/2006/main" count="284" uniqueCount="104">
  <si>
    <t>apikey_kraken</t>
  </si>
  <si>
    <t>GROUP_1</t>
  </si>
  <si>
    <t>unixtime</t>
  </si>
  <si>
    <t>rfc1123</t>
  </si>
  <si>
    <t>result</t>
  </si>
  <si>
    <t>secretkey_kraken</t>
  </si>
  <si>
    <t>GROUP_2</t>
  </si>
  <si>
    <t>GROUP_3</t>
  </si>
  <si>
    <t>refid</t>
  </si>
  <si>
    <t>time</t>
  </si>
  <si>
    <t>type</t>
  </si>
  <si>
    <t>aclass</t>
  </si>
  <si>
    <t>asset</t>
  </si>
  <si>
    <t>amount</t>
  </si>
  <si>
    <t>fee</t>
  </si>
  <si>
    <t>balance</t>
  </si>
  <si>
    <t>NODE_LVL</t>
  </si>
  <si>
    <t>PARENT</t>
  </si>
  <si>
    <t>KEY</t>
  </si>
  <si>
    <t>VALUE</t>
  </si>
  <si>
    <t>TYPE</t>
  </si>
  <si>
    <t>MAIN</t>
  </si>
  <si>
    <t>error</t>
  </si>
  <si>
    <t>OBJ</t>
  </si>
  <si>
    <t>VAL</t>
  </si>
  <si>
    <t>Output after ResArr = JsonToArray(Json)</t>
  </si>
  <si>
    <t>Output after Tbl = ArrayTable(ResArr)</t>
  </si>
  <si>
    <t>Column1</t>
  </si>
  <si>
    <t>Kraken deposits</t>
  </si>
  <si>
    <t>your api key here</t>
  </si>
  <si>
    <t>your secret key here</t>
  </si>
  <si>
    <t>btc_eur</t>
  </si>
  <si>
    <t>high</t>
  </si>
  <si>
    <t>low</t>
  </si>
  <si>
    <t>avg</t>
  </si>
  <si>
    <t>vol</t>
  </si>
  <si>
    <t>vol_cur</t>
  </si>
  <si>
    <t>last</t>
  </si>
  <si>
    <t>buy</t>
  </si>
  <si>
    <t>sell</t>
  </si>
  <si>
    <t>updated</t>
  </si>
  <si>
    <t>eth_eur</t>
  </si>
  <si>
    <t>UnixtimeToDate</t>
  </si>
  <si>
    <t>return</t>
  </si>
  <si>
    <t>pair</t>
  </si>
  <si>
    <t>rate</t>
  </si>
  <si>
    <t>order_id</t>
  </si>
  <si>
    <t>is_your_order</t>
  </si>
  <si>
    <t>timestamp</t>
  </si>
  <si>
    <t>date</t>
  </si>
  <si>
    <t>BTCe trade history btc_eur</t>
  </si>
  <si>
    <t>apikey_bittrex</t>
  </si>
  <si>
    <t>secretkey_bittrex</t>
  </si>
  <si>
    <t>success</t>
  </si>
  <si>
    <t>message</t>
  </si>
  <si>
    <t>Bid</t>
  </si>
  <si>
    <t>Ask</t>
  </si>
  <si>
    <t>Last</t>
  </si>
  <si>
    <t>Thu,  7 Sep 17 09:15:34 +0000</t>
  </si>
  <si>
    <t>Currency</t>
  </si>
  <si>
    <t>BTC</t>
  </si>
  <si>
    <t>Balance</t>
  </si>
  <si>
    <t>Available</t>
  </si>
  <si>
    <t>Pending</t>
  </si>
  <si>
    <t>CryptoAddress</t>
  </si>
  <si>
    <t>Bittrex balances</t>
  </si>
  <si>
    <t>apikey_poloniex</t>
  </si>
  <si>
    <t>secretkey_poloniex</t>
  </si>
  <si>
    <t>apikey_liqui</t>
  </si>
  <si>
    <t>secretkey_liqui</t>
  </si>
  <si>
    <t>apikey_wexnz</t>
  </si>
  <si>
    <t>secretkey_wexnz</t>
  </si>
  <si>
    <t>apikey_coinone</t>
  </si>
  <si>
    <t>secretkey_coinone</t>
  </si>
  <si>
    <t>Work in progress</t>
  </si>
  <si>
    <t>Code untested, copy-pasted from BTCe</t>
  </si>
  <si>
    <t>apikey_cryptopia</t>
  </si>
  <si>
    <t>secretkey_cryptopia</t>
  </si>
  <si>
    <t>apikey_binance</t>
  </si>
  <si>
    <t>secretkey_binance</t>
  </si>
  <si>
    <t>serverTime</t>
  </si>
  <si>
    <t>Test: your timestamp</t>
  </si>
  <si>
    <t>Delta</t>
  </si>
  <si>
    <t>balances</t>
  </si>
  <si>
    <t>free</t>
  </si>
  <si>
    <t>locked</t>
  </si>
  <si>
    <t>LTC</t>
  </si>
  <si>
    <t>ETH</t>
  </si>
  <si>
    <t>Your Timestamp</t>
  </si>
  <si>
    <t>Binance balances</t>
  </si>
  <si>
    <t>asks</t>
  </si>
  <si>
    <t>bids</t>
  </si>
  <si>
    <t>isFrozen</t>
  </si>
  <si>
    <t>seq</t>
  </si>
  <si>
    <t>VAL_1</t>
  </si>
  <si>
    <t>VAL_2</t>
  </si>
  <si>
    <t>Poloniex Trade history</t>
  </si>
  <si>
    <t>BTC_ETH</t>
  </si>
  <si>
    <t>exchange</t>
  </si>
  <si>
    <t>globalTradeID</t>
  </si>
  <si>
    <t>tradeID</t>
  </si>
  <si>
    <t>total</t>
  </si>
  <si>
    <t>orderNumber</t>
  </si>
  <si>
    <t>category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</si>
</sst>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(* #,##0.00_);_(* \(#,##0.00\);_(* &quot;-&quot;??_);_(@_)"/>
    <numFmt numFmtId="165" formatCode="d\-mmm\-yy"/>
    <numFmt numFmtId="166" formatCode="_(* #,##0.00000_);_(* \(#,##0.00000\);_(* &quot;-&quot;??_);_(@_)"/>
  </numFmts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4" tint="0.59999389629810485"/>
        <bgColor indexed="64"/>
      </patternFill>
    </fill>
    <fill>
      <patternFill patternType="solid">
        <fgColor theme="0" tint="-0.14999847407452621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164" fontId="2" fillId="0" borderId="0" applyFont="0" applyFill="0" applyBorder="0" applyAlignment="0" applyProtection="0"/>
  </cellStyleXfs>
  <cellXfs count="48">
    <xf numFmtId="0" fontId="0" fillId="0" borderId="0" xfId="0"/>
    <xf numFmtId="0" fontId="1" fillId="0" borderId="0" xfId="0" applyFont="1"/>
    <xf numFmtId="0" fontId="1" fillId="2" borderId="0" xfId="0" applyFont="1" applyFill="1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Font="1" applyBorder="1"/>
    <xf numFmtId="0" fontId="0" fillId="0" borderId="2" xfId="0" applyFont="1" applyBorder="1"/>
    <xf numFmtId="0" fontId="0" fillId="0" borderId="3" xfId="0" applyFont="1" applyBorder="1"/>
    <xf numFmtId="0" fontId="0" fillId="0" borderId="4" xfId="0" applyFont="1" applyBorder="1"/>
    <xf numFmtId="0" fontId="0" fillId="0" borderId="5" xfId="0" applyFont="1" applyBorder="1"/>
    <xf numFmtId="0" fontId="0" fillId="0" borderId="6" xfId="0" applyFont="1" applyBorder="1"/>
    <xf numFmtId="0" fontId="0" fillId="0" borderId="0" xfId="0" applyFont="1" applyBorder="1"/>
    <xf numFmtId="0" fontId="0" fillId="0" borderId="7" xfId="0" applyFont="1" applyBorder="1"/>
    <xf numFmtId="0" fontId="0" fillId="0" borderId="8" xfId="0" applyFont="1" applyBorder="1"/>
    <xf numFmtId="0" fontId="1" fillId="3" borderId="0" xfId="0" quotePrefix="1" applyFont="1" applyFill="1"/>
    <xf numFmtId="0" fontId="0" fillId="3" borderId="0" xfId="0" applyFill="1"/>
    <xf numFmtId="15" fontId="0" fillId="0" borderId="0" xfId="0" applyNumberFormat="1"/>
    <xf numFmtId="0" fontId="0" fillId="0" borderId="8" xfId="0" applyBorder="1"/>
    <xf numFmtId="0" fontId="0" fillId="0" borderId="0" xfId="0" applyBorder="1"/>
    <xf numFmtId="0" fontId="0" fillId="0" borderId="7" xfId="0" applyBorder="1"/>
    <xf numFmtId="164" fontId="0" fillId="0" borderId="0" xfId="1" applyFont="1"/>
    <xf numFmtId="164" fontId="0" fillId="0" borderId="0" xfId="1" applyFont="1" applyBorder="1"/>
    <xf numFmtId="164" fontId="0" fillId="0" borderId="5" xfId="1" applyFont="1" applyBorder="1"/>
    <xf numFmtId="0" fontId="1" fillId="0" borderId="1" xfId="0" applyFont="1" applyBorder="1"/>
    <xf numFmtId="0" fontId="1" fillId="0" borderId="2" xfId="0" applyFont="1" applyBorder="1"/>
    <xf numFmtId="0" fontId="1" fillId="0" borderId="3" xfId="0" applyFont="1" applyBorder="1"/>
    <xf numFmtId="0" fontId="0" fillId="0" borderId="7" xfId="1" applyNumberFormat="1" applyFont="1" applyBorder="1"/>
    <xf numFmtId="0" fontId="0" fillId="0" borderId="6" xfId="1" applyNumberFormat="1" applyFont="1" applyBorder="1"/>
    <xf numFmtId="0" fontId="1" fillId="0" borderId="9" xfId="0" applyFont="1" applyFill="1" applyBorder="1"/>
    <xf numFmtId="15" fontId="0" fillId="0" borderId="10" xfId="0" applyNumberFormat="1" applyBorder="1"/>
    <xf numFmtId="15" fontId="0" fillId="0" borderId="11" xfId="0" applyNumberFormat="1" applyBorder="1"/>
    <xf numFmtId="165" fontId="0" fillId="0" borderId="0" xfId="0" applyNumberFormat="1"/>
    <xf numFmtId="0" fontId="0" fillId="0" borderId="0" xfId="0" quotePrefix="1"/>
    <xf numFmtId="0" fontId="1" fillId="0" borderId="0" xfId="0" quotePrefix="1" applyFont="1"/>
    <xf numFmtId="1" fontId="0" fillId="0" borderId="4" xfId="0" applyNumberFormat="1" applyBorder="1"/>
    <xf numFmtId="0" fontId="0" fillId="0" borderId="9" xfId="0" applyBorder="1"/>
    <xf numFmtId="1" fontId="0" fillId="0" borderId="11" xfId="0" applyNumberFormat="1" applyBorder="1"/>
    <xf numFmtId="1" fontId="0" fillId="0" borderId="6" xfId="0" applyNumberFormat="1" applyBorder="1"/>
    <xf numFmtId="1" fontId="0" fillId="0" borderId="5" xfId="0" applyNumberFormat="1" applyFont="1" applyBorder="1"/>
    <xf numFmtId="166" fontId="0" fillId="0" borderId="0" xfId="1" applyNumberFormat="1" applyFont="1" applyBorder="1"/>
    <xf numFmtId="166" fontId="0" fillId="0" borderId="7" xfId="1" applyNumberFormat="1" applyFont="1" applyBorder="1"/>
    <xf numFmtId="166" fontId="0" fillId="0" borderId="5" xfId="1" applyNumberFormat="1" applyFont="1" applyBorder="1"/>
    <xf numFmtId="166" fontId="0" fillId="0" borderId="6" xfId="1" applyNumberFormat="1" applyFont="1" applyBorder="1"/>
    <xf numFmtId="22" fontId="0" fillId="0" borderId="0" xfId="0" applyNumberFormat="1"/>
  </cellXfs>
  <cellStyles count="2">
    <cellStyle name="Komma" xfId="1" builtinId="3"/>
    <cellStyle name="Standaard" xfId="0" builtinId="0"/>
  </cellStyles>
  <dxfs count="3">
    <dxf>
      <numFmt numFmtId="165" formatCode="d\-mmm\-yy"/>
    </dxf>
    <dxf>
      <numFmt numFmtId="167" formatCode="m/d/yyyy\ h:mm"/>
    </dxf>
    <dxf>
      <numFmt numFmtId="165" formatCode="d\-mmm\-yy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0000000}" name="Tbl_Kraken_Ledgers" displayName="Tbl_Kraken_Ledgers" ref="B20:M21" insertRow="1" totalsRowShown="0">
  <autoFilter ref="B20:M21" xr:uid="{00000000-0009-0000-0100-000004000000}"/>
  <tableColumns count="12">
    <tableColumn id="1" xr3:uid="{00000000-0010-0000-0000-000001000000}" name="GROUP_1"/>
    <tableColumn id="2" xr3:uid="{00000000-0010-0000-0000-000002000000}" name="GROUP_2"/>
    <tableColumn id="3" xr3:uid="{00000000-0010-0000-0000-000003000000}" name="GROUP_3"/>
    <tableColumn id="4" xr3:uid="{00000000-0010-0000-0000-000004000000}" name="refid"/>
    <tableColumn id="5" xr3:uid="{00000000-0010-0000-0000-000005000000}" name="time"/>
    <tableColumn id="6" xr3:uid="{00000000-0010-0000-0000-000006000000}" name="type"/>
    <tableColumn id="7" xr3:uid="{00000000-0010-0000-0000-000007000000}" name="aclass"/>
    <tableColumn id="8" xr3:uid="{00000000-0010-0000-0000-000008000000}" name="asset"/>
    <tableColumn id="9" xr3:uid="{00000000-0010-0000-0000-000009000000}" name="amount"/>
    <tableColumn id="10" xr3:uid="{00000000-0010-0000-0000-00000A000000}" name="fee"/>
    <tableColumn id="11" xr3:uid="{00000000-0010-0000-0000-00000B000000}" name="balance"/>
    <tableColumn id="12" xr3:uid="{00000000-0010-0000-0000-00000C000000}" name="Column1" dataDxfId="2">
      <calculatedColumnFormula>UnixTimeToDate(Tbl_Kraken_Ledgers[[#This Row],[time]])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1000000}" name="Tbl_Bittrex_Ledgers" displayName="Tbl_Bittrex_Ledgers" ref="B22:H23" insertRow="1" totalsRowShown="0">
  <autoFilter ref="B22:H23" xr:uid="{00000000-0009-0000-0100-000002000000}"/>
  <tableColumns count="7">
    <tableColumn id="1" xr3:uid="{00000000-0010-0000-0100-000001000000}" name="GROUP_1"/>
    <tableColumn id="2" xr3:uid="{00000000-0010-0000-0100-000002000000}" name="GROUP_2"/>
    <tableColumn id="3" xr3:uid="{00000000-0010-0000-0100-000003000000}" name="Currency"/>
    <tableColumn id="4" xr3:uid="{00000000-0010-0000-0100-000004000000}" name="Balance"/>
    <tableColumn id="5" xr3:uid="{00000000-0010-0000-0100-000005000000}" name="Available"/>
    <tableColumn id="6" xr3:uid="{00000000-0010-0000-0100-000006000000}" name="Pending"/>
    <tableColumn id="7" xr3:uid="{00000000-0010-0000-0100-000007000000}" name="CryptoAddress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9A3AC0-82B5-45C9-B542-5981F1CA61F8}" name="Tbl_Binance_Balances" displayName="Tbl_Binance_Balances" ref="B17:F20" totalsRowShown="0">
  <autoFilter ref="B17:F20" xr:uid="{2785BCC6-62DE-40D7-BF15-0BEDCD40E032}"/>
  <tableColumns count="5">
    <tableColumn id="1" xr3:uid="{465F583A-080E-4F5D-963A-2294DBC63900}" name="GROUP_1"/>
    <tableColumn id="2" xr3:uid="{B0F9BDA7-D829-45FB-87D1-3B53F9BE7F5E}" name="GROUP_2"/>
    <tableColumn id="3" xr3:uid="{E8AADA28-7D3F-4A87-B33E-FF273766C715}" name="asset"/>
    <tableColumn id="4" xr3:uid="{9559B84C-9B25-47F7-B0C8-62DA5F830546}" name="free"/>
    <tableColumn id="5" xr3:uid="{1DB314E5-4358-4E65-AED0-EE1287F5AD16}" name="locked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3AAF485D-275D-4109-BB00-C401172D29B8}" name="Tbl_Poloniex_Trades" displayName="Tbl_Poloniex_Trades" ref="B26:M27" totalsRowShown="0">
  <autoFilter ref="B26:M27" xr:uid="{E336202C-1C2A-46FB-85CA-715A856B6677}"/>
  <tableColumns count="12">
    <tableColumn id="1" xr3:uid="{0B6EDB8A-7D91-4EA8-BD82-727D7E7C0AC7}" name="GROUP_1"/>
    <tableColumn id="2" xr3:uid="{4271C55D-7354-4697-BD92-A69F3B5AE0CF}" name="GROUP_2"/>
    <tableColumn id="3" xr3:uid="{0C227914-1F90-4AEC-9978-54E647017CBA}" name="globalTradeID"/>
    <tableColumn id="4" xr3:uid="{597DCA06-ED82-4562-89B1-4363361B07BE}" name="tradeID"/>
    <tableColumn id="5" xr3:uid="{05E1AC16-456B-441E-BF09-BE7AAAB516D5}" name="date" dataDxfId="1"/>
    <tableColumn id="6" xr3:uid="{3C171AF8-C405-41EC-B2EA-81F48B46FC1C}" name="rate"/>
    <tableColumn id="7" xr3:uid="{3669B328-137A-4F0D-9762-B0F37D4BD384}" name="amount"/>
    <tableColumn id="8" xr3:uid="{BC1F7B97-6369-4EF6-B3E4-4AE0CCC9F7EC}" name="total"/>
    <tableColumn id="9" xr3:uid="{CA85AAFE-84AA-4309-A925-AF472BC19F10}" name="fee"/>
    <tableColumn id="10" xr3:uid="{3DB7E862-22B1-4B47-9F25-055024BCC513}" name="orderNumber"/>
    <tableColumn id="11" xr3:uid="{3D3F0E42-031D-46E9-8047-294C764F20CB}" name="type"/>
    <tableColumn id="12" xr3:uid="{69137CBE-7F99-4816-A6B3-DD2926A47B91}" name="category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2000000}" name="Tbl_WEXnz_Trades" displayName="Tbl_WEXnz_Trades" ref="B36:K38" totalsRowShown="0">
  <autoFilter ref="B36:K38" xr:uid="{00000000-0009-0000-0100-000001000000}"/>
  <tableColumns count="10">
    <tableColumn id="1" xr3:uid="{00000000-0010-0000-0200-000001000000}" name="GROUP_1"/>
    <tableColumn id="2" xr3:uid="{00000000-0010-0000-0200-000002000000}" name="GROUP_2"/>
    <tableColumn id="3" xr3:uid="{00000000-0010-0000-0200-000003000000}" name="pair"/>
    <tableColumn id="4" xr3:uid="{00000000-0010-0000-0200-000004000000}" name="type"/>
    <tableColumn id="5" xr3:uid="{00000000-0010-0000-0200-000005000000}" name="amount"/>
    <tableColumn id="6" xr3:uid="{00000000-0010-0000-0200-000006000000}" name="rate"/>
    <tableColumn id="7" xr3:uid="{00000000-0010-0000-0200-000007000000}" name="order_id"/>
    <tableColumn id="8" xr3:uid="{00000000-0010-0000-0200-000008000000}" name="is_your_order"/>
    <tableColumn id="9" xr3:uid="{00000000-0010-0000-0200-000009000000}" name="timestamp"/>
    <tableColumn id="10" xr3:uid="{00000000-0010-0000-0200-00000A000000}" name="date" dataDxfId="0">
      <calculatedColumnFormula>UnixTimeToDate(Tbl_WEXnz_Trades[[#This Row],[timestamp]])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2:M21"/>
  <sheetViews>
    <sheetView zoomScale="85" zoomScaleNormal="85" workbookViewId="0">
      <selection sqref="A1:XFD28"/>
    </sheetView>
  </sheetViews>
  <sheetFormatPr defaultRowHeight="14.4" x14ac:dyDescent="0.3"/>
  <cols>
    <col min="1" max="1" width="2.44140625" customWidth="1"/>
    <col min="2" max="2" width="20.109375" customWidth="1"/>
    <col min="3" max="3" width="98.6640625" bestFit="1" customWidth="1"/>
    <col min="4" max="4" width="28.109375" bestFit="1" customWidth="1"/>
    <col min="5" max="5" width="25.77734375" bestFit="1" customWidth="1"/>
    <col min="6" max="6" width="11.33203125" bestFit="1" customWidth="1"/>
    <col min="7" max="7" width="7.5546875" bestFit="1" customWidth="1"/>
    <col min="8" max="8" width="8.5546875" bestFit="1" customWidth="1"/>
    <col min="9" max="9" width="8" bestFit="1" customWidth="1"/>
    <col min="10" max="10" width="12.44140625" bestFit="1" customWidth="1"/>
    <col min="11" max="11" width="6.21875" bestFit="1" customWidth="1"/>
    <col min="12" max="12" width="12.44140625" bestFit="1" customWidth="1"/>
    <col min="13" max="13" width="9.5546875" bestFit="1" customWidth="1"/>
  </cols>
  <sheetData>
    <row r="2" spans="2:6" x14ac:dyDescent="0.3">
      <c r="B2" s="1" t="s">
        <v>0</v>
      </c>
      <c r="C2" s="2" t="s">
        <v>29</v>
      </c>
    </row>
    <row r="3" spans="2:6" x14ac:dyDescent="0.3">
      <c r="B3" s="1" t="s">
        <v>5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x14ac:dyDescent="0.3">
      <c r="B7" s="17">
        <v>1</v>
      </c>
      <c r="C7" s="15" t="s">
        <v>21</v>
      </c>
      <c r="D7" s="15" t="s">
        <v>22</v>
      </c>
      <c r="E7" s="15">
        <v>0</v>
      </c>
      <c r="F7" s="16" t="s">
        <v>23</v>
      </c>
    </row>
    <row r="8" spans="2:6" x14ac:dyDescent="0.3">
      <c r="B8" s="17">
        <v>1</v>
      </c>
      <c r="C8" s="15" t="s">
        <v>21</v>
      </c>
      <c r="D8" s="15" t="s">
        <v>4</v>
      </c>
      <c r="E8" s="15">
        <v>2</v>
      </c>
      <c r="F8" s="16" t="s">
        <v>23</v>
      </c>
    </row>
    <row r="9" spans="2:6" x14ac:dyDescent="0.3">
      <c r="B9" s="17">
        <v>2</v>
      </c>
      <c r="C9" s="15" t="s">
        <v>4</v>
      </c>
      <c r="D9" s="15" t="s">
        <v>2</v>
      </c>
      <c r="E9" s="15">
        <v>1504775734</v>
      </c>
      <c r="F9" s="16" t="s">
        <v>24</v>
      </c>
    </row>
    <row r="10" spans="2:6" ht="15" thickBot="1" x14ac:dyDescent="0.35">
      <c r="B10" s="12">
        <v>2</v>
      </c>
      <c r="C10" s="13" t="s">
        <v>4</v>
      </c>
      <c r="D10" s="13" t="s">
        <v>3</v>
      </c>
      <c r="E10" s="13" t="s">
        <v>58</v>
      </c>
      <c r="F10" s="14" t="s">
        <v>24</v>
      </c>
    </row>
    <row r="13" spans="2:6" ht="15" thickBot="1" x14ac:dyDescent="0.35">
      <c r="B13" s="18" t="s">
        <v>26</v>
      </c>
      <c r="C13" s="19"/>
      <c r="D13" s="19"/>
    </row>
    <row r="14" spans="2:6" x14ac:dyDescent="0.3">
      <c r="B14" s="3" t="s">
        <v>1</v>
      </c>
      <c r="C14" s="4" t="s">
        <v>2</v>
      </c>
      <c r="D14" s="5" t="s">
        <v>3</v>
      </c>
    </row>
    <row r="15" spans="2:6" ht="15" thickBot="1" x14ac:dyDescent="0.35">
      <c r="B15" s="6" t="s">
        <v>4</v>
      </c>
      <c r="C15" s="7">
        <v>1504775734</v>
      </c>
      <c r="D15" s="8" t="s">
        <v>58</v>
      </c>
    </row>
    <row r="19" spans="2:13" x14ac:dyDescent="0.3">
      <c r="B19" s="18" t="s">
        <v>28</v>
      </c>
      <c r="C19" s="18"/>
      <c r="D19" s="18"/>
    </row>
    <row r="20" spans="2:13" x14ac:dyDescent="0.3">
      <c r="B20" t="s">
        <v>1</v>
      </c>
      <c r="C20" t="s">
        <v>6</v>
      </c>
      <c r="D20" t="s">
        <v>7</v>
      </c>
      <c r="E20" t="s">
        <v>8</v>
      </c>
      <c r="F20" t="s">
        <v>9</v>
      </c>
      <c r="G20" t="s">
        <v>10</v>
      </c>
      <c r="H20" t="s">
        <v>11</v>
      </c>
      <c r="I20" t="s">
        <v>12</v>
      </c>
      <c r="J20" t="s">
        <v>13</v>
      </c>
      <c r="K20" t="s">
        <v>14</v>
      </c>
      <c r="L20" t="s">
        <v>15</v>
      </c>
      <c r="M20" t="s">
        <v>27</v>
      </c>
    </row>
    <row r="21" spans="2:13" x14ac:dyDescent="0.3">
      <c r="M21" s="35"/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"/>
  <dimension ref="B2:H22"/>
  <sheetViews>
    <sheetView zoomScale="85" zoomScaleNormal="85" workbookViewId="0">
      <selection activeCell="C3" sqref="C2:C3"/>
    </sheetView>
  </sheetViews>
  <sheetFormatPr defaultColWidth="19" defaultRowHeight="14.4" x14ac:dyDescent="0.3"/>
  <cols>
    <col min="1" max="1" width="3.5546875" customWidth="1"/>
    <col min="8" max="8" width="66.88671875" bestFit="1" customWidth="1"/>
  </cols>
  <sheetData>
    <row r="2" spans="2:6" x14ac:dyDescent="0.3">
      <c r="B2" s="1" t="s">
        <v>51</v>
      </c>
      <c r="C2" s="2" t="s">
        <v>29</v>
      </c>
    </row>
    <row r="3" spans="2:6" x14ac:dyDescent="0.3">
      <c r="B3" s="1" t="s">
        <v>52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27" t="s">
        <v>16</v>
      </c>
      <c r="C6" s="28" t="s">
        <v>17</v>
      </c>
      <c r="D6" s="28" t="s">
        <v>18</v>
      </c>
      <c r="E6" s="28" t="s">
        <v>19</v>
      </c>
      <c r="F6" s="29" t="s">
        <v>20</v>
      </c>
    </row>
    <row r="7" spans="2:6" x14ac:dyDescent="0.3">
      <c r="B7" s="17">
        <v>1</v>
      </c>
      <c r="C7" s="15" t="s">
        <v>21</v>
      </c>
      <c r="D7" s="15" t="s">
        <v>53</v>
      </c>
      <c r="E7" s="15" t="b">
        <v>1</v>
      </c>
      <c r="F7" s="16" t="s">
        <v>24</v>
      </c>
    </row>
    <row r="8" spans="2:6" x14ac:dyDescent="0.3">
      <c r="B8" s="17">
        <v>1</v>
      </c>
      <c r="C8" s="15" t="s">
        <v>21</v>
      </c>
      <c r="D8" s="15" t="s">
        <v>54</v>
      </c>
      <c r="E8" s="15"/>
      <c r="F8" s="16" t="s">
        <v>24</v>
      </c>
    </row>
    <row r="9" spans="2:6" x14ac:dyDescent="0.3">
      <c r="B9" s="17">
        <v>1</v>
      </c>
      <c r="C9" s="15" t="s">
        <v>21</v>
      </c>
      <c r="D9" s="15" t="s">
        <v>4</v>
      </c>
      <c r="E9" s="15">
        <v>3</v>
      </c>
      <c r="F9" s="16" t="s">
        <v>23</v>
      </c>
    </row>
    <row r="10" spans="2:6" x14ac:dyDescent="0.3">
      <c r="B10" s="17">
        <v>2</v>
      </c>
      <c r="C10" s="15" t="s">
        <v>4</v>
      </c>
      <c r="D10" s="15" t="s">
        <v>55</v>
      </c>
      <c r="E10" s="15">
        <v>4.7E-7</v>
      </c>
      <c r="F10" s="16" t="s">
        <v>24</v>
      </c>
    </row>
    <row r="11" spans="2:6" x14ac:dyDescent="0.3">
      <c r="B11" s="21">
        <v>2</v>
      </c>
      <c r="C11" s="22" t="s">
        <v>4</v>
      </c>
      <c r="D11" s="22" t="s">
        <v>56</v>
      </c>
      <c r="E11" s="22">
        <v>4.7999999999999996E-7</v>
      </c>
      <c r="F11" s="23" t="s">
        <v>24</v>
      </c>
    </row>
    <row r="12" spans="2:6" ht="15" thickBot="1" x14ac:dyDescent="0.35">
      <c r="B12" s="6">
        <v>2</v>
      </c>
      <c r="C12" s="7" t="s">
        <v>4</v>
      </c>
      <c r="D12" s="7" t="s">
        <v>57</v>
      </c>
      <c r="E12" s="7">
        <v>4.7999999999999996E-7</v>
      </c>
      <c r="F12" s="8" t="s">
        <v>24</v>
      </c>
    </row>
    <row r="15" spans="2:6" ht="15" thickBot="1" x14ac:dyDescent="0.35">
      <c r="B15" s="18" t="s">
        <v>4</v>
      </c>
      <c r="C15" s="19"/>
      <c r="D15" s="19"/>
      <c r="E15" s="19"/>
    </row>
    <row r="16" spans="2:6" x14ac:dyDescent="0.3">
      <c r="B16" s="27" t="s">
        <v>1</v>
      </c>
      <c r="C16" s="28" t="s">
        <v>55</v>
      </c>
      <c r="D16" s="28" t="s">
        <v>56</v>
      </c>
      <c r="E16" s="29" t="s">
        <v>57</v>
      </c>
    </row>
    <row r="17" spans="2:8" ht="15" thickBot="1" x14ac:dyDescent="0.35">
      <c r="B17" s="6" t="s">
        <v>4</v>
      </c>
      <c r="C17" s="7">
        <v>4.7E-7</v>
      </c>
      <c r="D17" s="7">
        <v>4.7999999999999996E-7</v>
      </c>
      <c r="E17" s="8">
        <v>4.7999999999999996E-7</v>
      </c>
    </row>
    <row r="21" spans="2:8" x14ac:dyDescent="0.3">
      <c r="B21" s="18" t="s">
        <v>65</v>
      </c>
      <c r="C21" s="18"/>
      <c r="D21" s="18"/>
    </row>
    <row r="22" spans="2:8" x14ac:dyDescent="0.3">
      <c r="B22" t="s">
        <v>1</v>
      </c>
      <c r="C22" t="s">
        <v>6</v>
      </c>
      <c r="D22" t="s">
        <v>59</v>
      </c>
      <c r="E22" t="s">
        <v>61</v>
      </c>
      <c r="F22" t="s">
        <v>62</v>
      </c>
      <c r="G22" t="s">
        <v>63</v>
      </c>
      <c r="H22" t="s">
        <v>64</v>
      </c>
    </row>
  </sheetData>
  <pageMargins left="0.7" right="0.7" top="0.75" bottom="0.75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59A93-ED94-4ABF-8E0F-40C13BC9B03E}">
  <sheetPr codeName="Blad5"/>
  <dimension ref="B2:F20"/>
  <sheetViews>
    <sheetView workbookViewId="0">
      <selection activeCell="C2" sqref="C2:C3"/>
    </sheetView>
  </sheetViews>
  <sheetFormatPr defaultRowHeight="14.4" x14ac:dyDescent="0.3"/>
  <cols>
    <col min="2" max="2" width="22" customWidth="1"/>
    <col min="3" max="3" width="12.5546875" customWidth="1"/>
    <col min="4" max="4" width="25.33203125" customWidth="1"/>
    <col min="5" max="5" width="24.5546875" customWidth="1"/>
    <col min="6" max="7" width="7" bestFit="1" customWidth="1"/>
    <col min="8" max="8" width="8.109375" bestFit="1" customWidth="1"/>
    <col min="9" max="9" width="7.44140625" bestFit="1" customWidth="1"/>
    <col min="10" max="10" width="9.88671875" bestFit="1" customWidth="1"/>
    <col min="11" max="11" width="5.88671875" bestFit="1" customWidth="1"/>
    <col min="12" max="12" width="9.77734375" bestFit="1" customWidth="1"/>
    <col min="13" max="13" width="10.77734375" bestFit="1" customWidth="1"/>
  </cols>
  <sheetData>
    <row r="2" spans="2:6" x14ac:dyDescent="0.3">
      <c r="B2" s="1" t="s">
        <v>78</v>
      </c>
      <c r="C2" s="2" t="s">
        <v>29</v>
      </c>
    </row>
    <row r="3" spans="2:6" x14ac:dyDescent="0.3">
      <c r="B3" s="1" t="s">
        <v>79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9" t="s">
        <v>16</v>
      </c>
      <c r="C6" s="10" t="s">
        <v>17</v>
      </c>
      <c r="D6" s="10" t="s">
        <v>18</v>
      </c>
      <c r="E6" s="10" t="s">
        <v>19</v>
      </c>
      <c r="F6" s="11" t="s">
        <v>20</v>
      </c>
    </row>
    <row r="7" spans="2:6" ht="15" thickBot="1" x14ac:dyDescent="0.35">
      <c r="B7" s="12">
        <v>1</v>
      </c>
      <c r="C7" s="13" t="s">
        <v>21</v>
      </c>
      <c r="D7" s="13" t="s">
        <v>80</v>
      </c>
      <c r="E7" s="42">
        <v>1513850504147</v>
      </c>
      <c r="F7" s="14" t="s">
        <v>24</v>
      </c>
    </row>
    <row r="10" spans="2:6" ht="15" thickBot="1" x14ac:dyDescent="0.35">
      <c r="B10" s="18" t="s">
        <v>26</v>
      </c>
      <c r="D10" s="18" t="s">
        <v>81</v>
      </c>
      <c r="E10" s="18"/>
    </row>
    <row r="11" spans="2:6" x14ac:dyDescent="0.3">
      <c r="B11" s="39" t="s">
        <v>80</v>
      </c>
      <c r="D11" s="27" t="s">
        <v>88</v>
      </c>
      <c r="E11" s="29" t="s">
        <v>82</v>
      </c>
    </row>
    <row r="12" spans="2:6" ht="15" thickBot="1" x14ac:dyDescent="0.35">
      <c r="B12" s="40">
        <v>1513850504147</v>
      </c>
      <c r="D12" s="38">
        <v>1513854104300</v>
      </c>
      <c r="E12" s="41">
        <f>B12-D12</f>
        <v>-3600153</v>
      </c>
    </row>
    <row r="16" spans="2:6" x14ac:dyDescent="0.3">
      <c r="B16" s="18" t="s">
        <v>89</v>
      </c>
      <c r="C16" s="18"/>
      <c r="D16" s="18"/>
    </row>
    <row r="17" spans="2:6" x14ac:dyDescent="0.3">
      <c r="B17" t="s">
        <v>1</v>
      </c>
      <c r="C17" t="s">
        <v>6</v>
      </c>
      <c r="D17" t="s">
        <v>12</v>
      </c>
      <c r="E17" t="s">
        <v>84</v>
      </c>
      <c r="F17" t="s">
        <v>85</v>
      </c>
    </row>
    <row r="18" spans="2:6" x14ac:dyDescent="0.3">
      <c r="B18" t="s">
        <v>83</v>
      </c>
      <c r="C18">
        <v>1</v>
      </c>
      <c r="D18" t="s">
        <v>60</v>
      </c>
      <c r="E18">
        <v>0</v>
      </c>
      <c r="F18">
        <v>0</v>
      </c>
    </row>
    <row r="19" spans="2:6" x14ac:dyDescent="0.3">
      <c r="B19" t="s">
        <v>83</v>
      </c>
      <c r="C19">
        <v>2</v>
      </c>
      <c r="D19" t="s">
        <v>86</v>
      </c>
      <c r="E19">
        <v>0</v>
      </c>
      <c r="F19">
        <v>0</v>
      </c>
    </row>
    <row r="20" spans="2:6" x14ac:dyDescent="0.3">
      <c r="B20" t="s">
        <v>83</v>
      </c>
      <c r="C20">
        <v>3</v>
      </c>
      <c r="D20" t="s">
        <v>87</v>
      </c>
      <c r="E20">
        <v>0</v>
      </c>
      <c r="F20">
        <v>0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2830C4-97F4-4626-80F1-1D77F1B97A99}">
  <sheetPr codeName="Blad1"/>
  <dimension ref="B2:M27"/>
  <sheetViews>
    <sheetView tabSelected="1" workbookViewId="0">
      <selection activeCell="A27" sqref="A27"/>
    </sheetView>
  </sheetViews>
  <sheetFormatPr defaultRowHeight="14.4" x14ac:dyDescent="0.3"/>
  <cols>
    <col min="2" max="2" width="17.44140625" bestFit="1" customWidth="1"/>
    <col min="3" max="3" width="18.21875" bestFit="1" customWidth="1"/>
    <col min="4" max="5" width="17.109375" customWidth="1"/>
    <col min="6" max="6" width="20.21875" customWidth="1"/>
    <col min="8" max="8" width="9.5546875" customWidth="1"/>
    <col min="11" max="11" width="14.33203125" customWidth="1"/>
    <col min="13" max="13" width="10.21875" customWidth="1"/>
  </cols>
  <sheetData>
    <row r="2" spans="2:6" x14ac:dyDescent="0.3">
      <c r="B2" s="1" t="s">
        <v>66</v>
      </c>
      <c r="C2" s="2" t="s">
        <v>29</v>
      </c>
    </row>
    <row r="3" spans="2:6" x14ac:dyDescent="0.3">
      <c r="B3" s="1" t="s">
        <v>67</v>
      </c>
      <c r="C3" s="2" t="s">
        <v>30</v>
      </c>
    </row>
    <row r="5" spans="2:6" ht="15" thickBot="1" x14ac:dyDescent="0.35">
      <c r="B5" s="18" t="s">
        <v>25</v>
      </c>
      <c r="C5" s="19"/>
      <c r="D5" s="19"/>
    </row>
    <row r="6" spans="2:6" x14ac:dyDescent="0.3">
      <c r="B6" s="9" t="s">
        <v>16</v>
      </c>
      <c r="C6" s="10" t="s">
        <v>17</v>
      </c>
      <c r="D6" s="10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90</v>
      </c>
      <c r="E7" s="22">
        <v>1</v>
      </c>
      <c r="F7" s="23" t="s">
        <v>23</v>
      </c>
    </row>
    <row r="8" spans="2:6" x14ac:dyDescent="0.3">
      <c r="B8" s="21">
        <v>2</v>
      </c>
      <c r="C8" s="22" t="s">
        <v>90</v>
      </c>
      <c r="D8" s="22">
        <v>1</v>
      </c>
      <c r="E8" s="22">
        <v>2</v>
      </c>
      <c r="F8" s="23" t="s">
        <v>23</v>
      </c>
    </row>
    <row r="9" spans="2:6" x14ac:dyDescent="0.3">
      <c r="B9" s="21">
        <v>3</v>
      </c>
      <c r="C9" s="22">
        <v>1</v>
      </c>
      <c r="D9" s="22">
        <v>1</v>
      </c>
      <c r="E9" s="22">
        <v>4.9996770000000003E-2</v>
      </c>
      <c r="F9" s="23" t="s">
        <v>24</v>
      </c>
    </row>
    <row r="10" spans="2:6" x14ac:dyDescent="0.3">
      <c r="B10" s="21">
        <v>3</v>
      </c>
      <c r="C10" s="22">
        <v>1</v>
      </c>
      <c r="D10" s="22">
        <v>2</v>
      </c>
      <c r="E10" s="22">
        <v>4.9949746700000004</v>
      </c>
      <c r="F10" s="23" t="s">
        <v>24</v>
      </c>
    </row>
    <row r="11" spans="2:6" x14ac:dyDescent="0.3">
      <c r="B11" s="21">
        <v>1</v>
      </c>
      <c r="C11" s="22" t="s">
        <v>21</v>
      </c>
      <c r="D11" s="22" t="s">
        <v>91</v>
      </c>
      <c r="E11" s="22">
        <v>1</v>
      </c>
      <c r="F11" s="23" t="s">
        <v>23</v>
      </c>
    </row>
    <row r="12" spans="2:6" x14ac:dyDescent="0.3">
      <c r="B12" s="21">
        <v>2</v>
      </c>
      <c r="C12" s="22" t="s">
        <v>91</v>
      </c>
      <c r="D12" s="22">
        <v>1</v>
      </c>
      <c r="E12" s="22">
        <v>2</v>
      </c>
      <c r="F12" s="23" t="s">
        <v>23</v>
      </c>
    </row>
    <row r="13" spans="2:6" x14ac:dyDescent="0.3">
      <c r="B13" s="21">
        <v>3</v>
      </c>
      <c r="C13" s="22">
        <v>1</v>
      </c>
      <c r="D13" s="22">
        <v>1</v>
      </c>
      <c r="E13" s="22">
        <v>4.9885029999999997E-2</v>
      </c>
      <c r="F13" s="23" t="s">
        <v>24</v>
      </c>
    </row>
    <row r="14" spans="2:6" x14ac:dyDescent="0.3">
      <c r="B14" s="21">
        <v>3</v>
      </c>
      <c r="C14" s="22">
        <v>1</v>
      </c>
      <c r="D14" s="22">
        <v>2</v>
      </c>
      <c r="E14" s="22">
        <v>26.324120059999998</v>
      </c>
      <c r="F14" s="23" t="s">
        <v>24</v>
      </c>
    </row>
    <row r="15" spans="2:6" x14ac:dyDescent="0.3">
      <c r="B15" s="21">
        <v>1</v>
      </c>
      <c r="C15" s="22" t="s">
        <v>21</v>
      </c>
      <c r="D15" s="22" t="s">
        <v>92</v>
      </c>
      <c r="E15" s="22">
        <v>0</v>
      </c>
      <c r="F15" s="23" t="s">
        <v>24</v>
      </c>
    </row>
    <row r="16" spans="2:6" ht="15" thickBot="1" x14ac:dyDescent="0.35">
      <c r="B16" s="6">
        <v>1</v>
      </c>
      <c r="C16" s="7" t="s">
        <v>21</v>
      </c>
      <c r="D16" s="7" t="s">
        <v>93</v>
      </c>
      <c r="E16" s="7">
        <v>459077833</v>
      </c>
      <c r="F16" s="8" t="s">
        <v>24</v>
      </c>
    </row>
    <row r="19" spans="2:13" ht="15" thickBot="1" x14ac:dyDescent="0.35">
      <c r="B19" s="18" t="s">
        <v>26</v>
      </c>
    </row>
    <row r="20" spans="2:13" x14ac:dyDescent="0.3">
      <c r="B20" s="3" t="s">
        <v>1</v>
      </c>
      <c r="C20" s="4" t="s">
        <v>6</v>
      </c>
      <c r="D20" s="4" t="s">
        <v>94</v>
      </c>
      <c r="E20" s="5" t="s">
        <v>95</v>
      </c>
    </row>
    <row r="21" spans="2:13" x14ac:dyDescent="0.3">
      <c r="B21" s="21" t="s">
        <v>90</v>
      </c>
      <c r="C21" s="22">
        <v>1</v>
      </c>
      <c r="D21" s="43">
        <v>4.9996770000000003E-2</v>
      </c>
      <c r="E21" s="44">
        <v>4.9949746700000004</v>
      </c>
    </row>
    <row r="22" spans="2:13" ht="15" thickBot="1" x14ac:dyDescent="0.35">
      <c r="B22" s="6" t="s">
        <v>91</v>
      </c>
      <c r="C22" s="7">
        <v>1</v>
      </c>
      <c r="D22" s="45">
        <v>4.9885029999999997E-2</v>
      </c>
      <c r="E22" s="46">
        <v>26.324120059999998</v>
      </c>
    </row>
    <row r="25" spans="2:13" x14ac:dyDescent="0.3">
      <c r="B25" s="18" t="s">
        <v>96</v>
      </c>
    </row>
    <row r="26" spans="2:13" x14ac:dyDescent="0.3">
      <c r="B26" t="s">
        <v>1</v>
      </c>
      <c r="C26" t="s">
        <v>6</v>
      </c>
      <c r="D26" t="s">
        <v>99</v>
      </c>
      <c r="E26" t="s">
        <v>100</v>
      </c>
      <c r="F26" s="47" t="s">
        <v>49</v>
      </c>
      <c r="G26" t="s">
        <v>45</v>
      </c>
      <c r="H26" t="s">
        <v>13</v>
      </c>
      <c r="I26" t="s">
        <v>101</v>
      </c>
      <c r="J26" t="s">
        <v>14</v>
      </c>
      <c r="K26" t="s">
        <v>102</v>
      </c>
      <c r="L26" t="s">
        <v>10</v>
      </c>
      <c r="M26" t="s">
        <v>103</v>
      </c>
    </row>
    <row r="27" spans="2:13" x14ac:dyDescent="0.3">
      <c r="B27" t="s">
        <v>97</v>
      </c>
      <c r="C27">
        <v>1</v>
      </c>
      <c r="D27">
        <v>999</v>
      </c>
      <c r="E27">
        <v>1888</v>
      </c>
      <c r="F27" s="47">
        <v>42710.601099537038</v>
      </c>
      <c r="G27">
        <v>0.1</v>
      </c>
      <c r="H27">
        <v>10</v>
      </c>
      <c r="I27">
        <v>1</v>
      </c>
      <c r="J27">
        <v>1.5E-3</v>
      </c>
      <c r="K27">
        <v>160</v>
      </c>
      <c r="L27" t="s">
        <v>39</v>
      </c>
      <c r="M27" t="s">
        <v>98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B1:L38"/>
  <sheetViews>
    <sheetView workbookViewId="0">
      <selection activeCell="B1" sqref="B1"/>
    </sheetView>
  </sheetViews>
  <sheetFormatPr defaultRowHeight="14.4" x14ac:dyDescent="0.3"/>
  <cols>
    <col min="1" max="1" width="4.109375" customWidth="1"/>
    <col min="2" max="2" width="19" customWidth="1"/>
    <col min="3" max="3" width="36.21875" customWidth="1"/>
    <col min="4" max="4" width="9" bestFit="1" customWidth="1"/>
    <col min="5" max="6" width="10.88671875" bestFit="1" customWidth="1"/>
    <col min="7" max="7" width="9" bestFit="1" customWidth="1"/>
    <col min="8" max="8" width="11" bestFit="1" customWidth="1"/>
    <col min="9" max="9" width="14.5546875" customWidth="1"/>
    <col min="10" max="10" width="11.88671875" customWidth="1"/>
    <col min="11" max="11" width="16.109375" bestFit="1" customWidth="1"/>
    <col min="12" max="12" width="14.6640625" bestFit="1" customWidth="1"/>
  </cols>
  <sheetData>
    <row r="1" spans="2:6" x14ac:dyDescent="0.3">
      <c r="B1" s="37" t="s">
        <v>75</v>
      </c>
    </row>
    <row r="2" spans="2:6" x14ac:dyDescent="0.3">
      <c r="B2" s="1" t="s">
        <v>70</v>
      </c>
      <c r="C2" s="2" t="s">
        <v>29</v>
      </c>
    </row>
    <row r="3" spans="2:6" x14ac:dyDescent="0.3">
      <c r="B3" s="1" t="s">
        <v>71</v>
      </c>
      <c r="C3" s="2" t="s">
        <v>30</v>
      </c>
    </row>
    <row r="5" spans="2:6" ht="15" thickBot="1" x14ac:dyDescent="0.35">
      <c r="B5" s="18" t="s">
        <v>25</v>
      </c>
      <c r="C5" s="19"/>
      <c r="D5" s="19"/>
      <c r="E5" s="19"/>
      <c r="F5" s="19"/>
    </row>
    <row r="6" spans="2:6" x14ac:dyDescent="0.3">
      <c r="B6" s="3" t="s">
        <v>16</v>
      </c>
      <c r="C6" s="4" t="s">
        <v>17</v>
      </c>
      <c r="D6" s="4" t="s">
        <v>18</v>
      </c>
      <c r="E6" s="4" t="s">
        <v>19</v>
      </c>
      <c r="F6" s="5" t="s">
        <v>20</v>
      </c>
    </row>
    <row r="7" spans="2:6" x14ac:dyDescent="0.3">
      <c r="B7" s="21">
        <v>1</v>
      </c>
      <c r="C7" s="22" t="s">
        <v>21</v>
      </c>
      <c r="D7" s="22" t="s">
        <v>31</v>
      </c>
      <c r="E7" s="22">
        <v>9</v>
      </c>
      <c r="F7" s="23" t="s">
        <v>23</v>
      </c>
    </row>
    <row r="8" spans="2:6" x14ac:dyDescent="0.3">
      <c r="B8" s="21">
        <v>2</v>
      </c>
      <c r="C8" s="22" t="s">
        <v>31</v>
      </c>
      <c r="D8" s="22" t="s">
        <v>32</v>
      </c>
      <c r="E8" s="25">
        <v>2449.6142100000002</v>
      </c>
      <c r="F8" s="23" t="s">
        <v>24</v>
      </c>
    </row>
    <row r="9" spans="2:6" x14ac:dyDescent="0.3">
      <c r="B9" s="21">
        <v>2</v>
      </c>
      <c r="C9" s="22" t="s">
        <v>31</v>
      </c>
      <c r="D9" s="22" t="s">
        <v>33</v>
      </c>
      <c r="E9" s="25">
        <v>2330</v>
      </c>
      <c r="F9" s="23" t="s">
        <v>24</v>
      </c>
    </row>
    <row r="10" spans="2:6" x14ac:dyDescent="0.3">
      <c r="B10" s="21">
        <v>2</v>
      </c>
      <c r="C10" s="22" t="s">
        <v>31</v>
      </c>
      <c r="D10" s="22" t="s">
        <v>34</v>
      </c>
      <c r="E10" s="25">
        <v>2389.8071049999999</v>
      </c>
      <c r="F10" s="23" t="s">
        <v>24</v>
      </c>
    </row>
    <row r="11" spans="2:6" x14ac:dyDescent="0.3">
      <c r="B11" s="21">
        <v>2</v>
      </c>
      <c r="C11" s="22" t="s">
        <v>31</v>
      </c>
      <c r="D11" s="22" t="s">
        <v>35</v>
      </c>
      <c r="E11" s="25">
        <v>453713.54395000002</v>
      </c>
      <c r="F11" s="23" t="s">
        <v>24</v>
      </c>
    </row>
    <row r="12" spans="2:6" x14ac:dyDescent="0.3">
      <c r="B12" s="21">
        <v>2</v>
      </c>
      <c r="C12" s="22" t="s">
        <v>31</v>
      </c>
      <c r="D12" s="22" t="s">
        <v>36</v>
      </c>
      <c r="E12" s="25">
        <v>190.49576999999999</v>
      </c>
      <c r="F12" s="23" t="s">
        <v>24</v>
      </c>
    </row>
    <row r="13" spans="2:6" x14ac:dyDescent="0.3">
      <c r="B13" s="21">
        <v>2</v>
      </c>
      <c r="C13" s="22" t="s">
        <v>31</v>
      </c>
      <c r="D13" s="22" t="s">
        <v>37</v>
      </c>
      <c r="E13" s="25">
        <v>2430.0666799999999</v>
      </c>
      <c r="F13" s="23" t="s">
        <v>24</v>
      </c>
    </row>
    <row r="14" spans="2:6" x14ac:dyDescent="0.3">
      <c r="B14" s="21">
        <v>2</v>
      </c>
      <c r="C14" s="22" t="s">
        <v>31</v>
      </c>
      <c r="D14" s="22" t="s">
        <v>38</v>
      </c>
      <c r="E14" s="25">
        <v>2447.9999899999998</v>
      </c>
      <c r="F14" s="23" t="s">
        <v>24</v>
      </c>
    </row>
    <row r="15" spans="2:6" x14ac:dyDescent="0.3">
      <c r="B15" s="21">
        <v>2</v>
      </c>
      <c r="C15" s="22" t="s">
        <v>31</v>
      </c>
      <c r="D15" s="22" t="s">
        <v>39</v>
      </c>
      <c r="E15" s="25">
        <v>2430.1</v>
      </c>
      <c r="F15" s="23" t="s">
        <v>24</v>
      </c>
    </row>
    <row r="16" spans="2:6" x14ac:dyDescent="0.3">
      <c r="B16" s="21">
        <v>2</v>
      </c>
      <c r="C16" s="22" t="s">
        <v>31</v>
      </c>
      <c r="D16" s="22" t="s">
        <v>40</v>
      </c>
      <c r="E16" s="22">
        <v>1497027712</v>
      </c>
      <c r="F16" s="23" t="s">
        <v>24</v>
      </c>
    </row>
    <row r="17" spans="2:12" x14ac:dyDescent="0.3">
      <c r="B17" s="21">
        <v>1</v>
      </c>
      <c r="C17" s="22" t="s">
        <v>21</v>
      </c>
      <c r="D17" s="22" t="s">
        <v>41</v>
      </c>
      <c r="E17" s="22">
        <v>9</v>
      </c>
      <c r="F17" s="23" t="s">
        <v>23</v>
      </c>
    </row>
    <row r="18" spans="2:12" x14ac:dyDescent="0.3">
      <c r="B18" s="21">
        <v>2</v>
      </c>
      <c r="C18" s="22" t="s">
        <v>41</v>
      </c>
      <c r="D18" s="22" t="s">
        <v>32</v>
      </c>
      <c r="E18" s="25">
        <v>239</v>
      </c>
      <c r="F18" s="23" t="s">
        <v>24</v>
      </c>
    </row>
    <row r="19" spans="2:12" x14ac:dyDescent="0.3">
      <c r="B19" s="21">
        <v>2</v>
      </c>
      <c r="C19" s="22" t="s">
        <v>41</v>
      </c>
      <c r="D19" s="22" t="s">
        <v>33</v>
      </c>
      <c r="E19" s="25">
        <v>217.56179</v>
      </c>
      <c r="F19" s="23" t="s">
        <v>24</v>
      </c>
    </row>
    <row r="20" spans="2:12" x14ac:dyDescent="0.3">
      <c r="B20" s="21">
        <v>2</v>
      </c>
      <c r="C20" s="22" t="s">
        <v>41</v>
      </c>
      <c r="D20" s="22" t="s">
        <v>34</v>
      </c>
      <c r="E20" s="25">
        <v>228.28089499999999</v>
      </c>
      <c r="F20" s="23" t="s">
        <v>24</v>
      </c>
    </row>
    <row r="21" spans="2:12" x14ac:dyDescent="0.3">
      <c r="B21" s="21">
        <v>2</v>
      </c>
      <c r="C21" s="22" t="s">
        <v>41</v>
      </c>
      <c r="D21" s="22" t="s">
        <v>35</v>
      </c>
      <c r="E21" s="25">
        <v>96744.346619999997</v>
      </c>
      <c r="F21" s="23" t="s">
        <v>24</v>
      </c>
    </row>
    <row r="22" spans="2:12" x14ac:dyDescent="0.3">
      <c r="B22" s="21">
        <v>2</v>
      </c>
      <c r="C22" s="22" t="s">
        <v>41</v>
      </c>
      <c r="D22" s="22" t="s">
        <v>36</v>
      </c>
      <c r="E22" s="25">
        <v>427.27568000000002</v>
      </c>
      <c r="F22" s="23" t="s">
        <v>24</v>
      </c>
    </row>
    <row r="23" spans="2:12" x14ac:dyDescent="0.3">
      <c r="B23" s="21">
        <v>2</v>
      </c>
      <c r="C23" s="22" t="s">
        <v>41</v>
      </c>
      <c r="D23" s="22" t="s">
        <v>37</v>
      </c>
      <c r="E23" s="25">
        <v>237.83841000000001</v>
      </c>
      <c r="F23" s="23" t="s">
        <v>24</v>
      </c>
    </row>
    <row r="24" spans="2:12" x14ac:dyDescent="0.3">
      <c r="B24" s="21">
        <v>2</v>
      </c>
      <c r="C24" s="22" t="s">
        <v>41</v>
      </c>
      <c r="D24" s="22" t="s">
        <v>38</v>
      </c>
      <c r="E24" s="25">
        <v>237.54508000000001</v>
      </c>
      <c r="F24" s="23" t="s">
        <v>24</v>
      </c>
    </row>
    <row r="25" spans="2:12" x14ac:dyDescent="0.3">
      <c r="B25" s="21">
        <v>2</v>
      </c>
      <c r="C25" s="22" t="s">
        <v>41</v>
      </c>
      <c r="D25" s="22" t="s">
        <v>39</v>
      </c>
      <c r="E25" s="25">
        <v>235.65606</v>
      </c>
      <c r="F25" s="23" t="s">
        <v>24</v>
      </c>
    </row>
    <row r="26" spans="2:12" ht="15" thickBot="1" x14ac:dyDescent="0.35">
      <c r="B26" s="6">
        <v>2</v>
      </c>
      <c r="C26" s="7" t="s">
        <v>41</v>
      </c>
      <c r="D26" s="7" t="s">
        <v>40</v>
      </c>
      <c r="E26" s="7">
        <v>1497027712</v>
      </c>
      <c r="F26" s="8" t="s">
        <v>24</v>
      </c>
    </row>
    <row r="29" spans="2:12" ht="15" thickBot="1" x14ac:dyDescent="0.35">
      <c r="B29" s="18" t="s">
        <v>26</v>
      </c>
      <c r="C29" s="19"/>
      <c r="D29" s="19"/>
    </row>
    <row r="30" spans="2:12" x14ac:dyDescent="0.3">
      <c r="B30" s="27" t="s">
        <v>1</v>
      </c>
      <c r="C30" s="28" t="s">
        <v>32</v>
      </c>
      <c r="D30" s="28" t="s">
        <v>33</v>
      </c>
      <c r="E30" s="28" t="s">
        <v>34</v>
      </c>
      <c r="F30" s="28" t="s">
        <v>35</v>
      </c>
      <c r="G30" s="28" t="s">
        <v>36</v>
      </c>
      <c r="H30" s="28" t="s">
        <v>37</v>
      </c>
      <c r="I30" s="28" t="s">
        <v>38</v>
      </c>
      <c r="J30" s="28" t="s">
        <v>39</v>
      </c>
      <c r="K30" s="29" t="s">
        <v>40</v>
      </c>
      <c r="L30" s="32" t="s">
        <v>42</v>
      </c>
    </row>
    <row r="31" spans="2:12" x14ac:dyDescent="0.3">
      <c r="B31" s="21" t="s">
        <v>31</v>
      </c>
      <c r="C31" s="25">
        <v>2449.6142100000002</v>
      </c>
      <c r="D31" s="25">
        <v>2330</v>
      </c>
      <c r="E31" s="25">
        <v>2389.8071049999999</v>
      </c>
      <c r="F31" s="25">
        <v>453713.54395000002</v>
      </c>
      <c r="G31" s="25">
        <v>190.49576999999999</v>
      </c>
      <c r="H31" s="25">
        <v>2430.0666799999999</v>
      </c>
      <c r="I31" s="25">
        <v>2447.9999899999998</v>
      </c>
      <c r="J31" s="25">
        <v>2430.1</v>
      </c>
      <c r="K31" s="30">
        <v>1497027712</v>
      </c>
      <c r="L31" s="33">
        <f>UnixTimeToDate(K31)</f>
        <v>42895.709629629629</v>
      </c>
    </row>
    <row r="32" spans="2:12" ht="15" thickBot="1" x14ac:dyDescent="0.35">
      <c r="B32" s="6" t="s">
        <v>41</v>
      </c>
      <c r="C32" s="26">
        <v>239</v>
      </c>
      <c r="D32" s="26">
        <v>217.56179</v>
      </c>
      <c r="E32" s="26">
        <v>228.28089499999999</v>
      </c>
      <c r="F32" s="26">
        <v>96744.346619999997</v>
      </c>
      <c r="G32" s="26">
        <v>427.27568000000002</v>
      </c>
      <c r="H32" s="26">
        <v>237.83841000000001</v>
      </c>
      <c r="I32" s="26">
        <v>237.54508000000001</v>
      </c>
      <c r="J32" s="26">
        <v>235.65606</v>
      </c>
      <c r="K32" s="31">
        <v>1497027712</v>
      </c>
      <c r="L32" s="34">
        <f>UnixTimeToDate(K32)</f>
        <v>42895.709629629629</v>
      </c>
    </row>
    <row r="35" spans="2:11" x14ac:dyDescent="0.3">
      <c r="B35" s="18" t="s">
        <v>50</v>
      </c>
      <c r="C35" s="18"/>
      <c r="D35" s="18"/>
    </row>
    <row r="36" spans="2:11" x14ac:dyDescent="0.3">
      <c r="B36" t="s">
        <v>1</v>
      </c>
      <c r="C36" t="s">
        <v>6</v>
      </c>
      <c r="D36" t="s">
        <v>44</v>
      </c>
      <c r="E36" t="s">
        <v>10</v>
      </c>
      <c r="F36" t="s">
        <v>13</v>
      </c>
      <c r="G36" t="s">
        <v>45</v>
      </c>
      <c r="H36" t="s">
        <v>46</v>
      </c>
      <c r="I36" t="s">
        <v>47</v>
      </c>
      <c r="J36" t="s">
        <v>48</v>
      </c>
      <c r="K36" t="s">
        <v>49</v>
      </c>
    </row>
    <row r="37" spans="2:11" x14ac:dyDescent="0.3">
      <c r="B37" t="s">
        <v>43</v>
      </c>
      <c r="C37">
        <v>101929500</v>
      </c>
      <c r="D37" t="s">
        <v>31</v>
      </c>
      <c r="E37" t="s">
        <v>39</v>
      </c>
      <c r="F37" s="24">
        <v>7.0000000000000007E-2</v>
      </c>
      <c r="G37" s="24">
        <v>1509.03</v>
      </c>
      <c r="H37">
        <v>1766540000</v>
      </c>
      <c r="I37">
        <v>1</v>
      </c>
      <c r="J37">
        <v>1494653192</v>
      </c>
      <c r="K37" s="20">
        <f>UnixTimeToDate(Tbl_WEXnz_Trades[[#This Row],[timestamp]])</f>
        <v>42868.226759259262</v>
      </c>
    </row>
    <row r="38" spans="2:11" x14ac:dyDescent="0.3">
      <c r="B38" t="s">
        <v>43</v>
      </c>
      <c r="C38">
        <v>101929500</v>
      </c>
      <c r="D38" t="s">
        <v>31</v>
      </c>
      <c r="E38" t="s">
        <v>39</v>
      </c>
      <c r="F38" s="24">
        <v>0.06</v>
      </c>
      <c r="G38" s="24">
        <v>1509.03</v>
      </c>
      <c r="H38">
        <v>1766540000</v>
      </c>
      <c r="I38">
        <v>1</v>
      </c>
      <c r="J38">
        <v>1494653191</v>
      </c>
      <c r="K38" s="20">
        <f>UnixTimeToDate(Tbl_WEXnz_Trades[[#This Row],[timestamp]])</f>
        <v>42868.226747685185</v>
      </c>
    </row>
  </sheetData>
  <pageMargins left="0.7" right="0.7" top="0.75" bottom="0.75" header="0.3" footer="0.3"/>
  <pageSetup paperSize="9" orientation="portrait"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0659EFF-19D4-4230-BF10-E969A30FCC88}">
  <sheetPr codeName="Blad4"/>
  <dimension ref="B2:C5"/>
  <sheetViews>
    <sheetView workbookViewId="0">
      <selection activeCell="F6" sqref="F6"/>
    </sheetView>
  </sheetViews>
  <sheetFormatPr defaultRowHeight="14.4" x14ac:dyDescent="0.3"/>
  <cols>
    <col min="2" max="3" width="18.21875" bestFit="1" customWidth="1"/>
  </cols>
  <sheetData>
    <row r="2" spans="2:3" x14ac:dyDescent="0.3">
      <c r="B2" s="1" t="s">
        <v>76</v>
      </c>
      <c r="C2" s="2" t="s">
        <v>29</v>
      </c>
    </row>
    <row r="3" spans="2:3" x14ac:dyDescent="0.3">
      <c r="B3" s="1" t="s">
        <v>77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D80BF1-49FA-43C1-9BE0-3287482B174C}">
  <sheetPr codeName="Blad2"/>
  <dimension ref="B1:C5"/>
  <sheetViews>
    <sheetView workbookViewId="0">
      <selection activeCell="C5" sqref="C5"/>
    </sheetView>
  </sheetViews>
  <sheetFormatPr defaultRowHeight="14.4" x14ac:dyDescent="0.3"/>
  <cols>
    <col min="2" max="2" width="13.664062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68</v>
      </c>
      <c r="C2" s="2" t="s">
        <v>29</v>
      </c>
    </row>
    <row r="3" spans="2:3" x14ac:dyDescent="0.3">
      <c r="B3" s="1" t="s">
        <v>69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BFC9CA-AB02-4E07-A78B-1E6CAF0AB52F}">
  <sheetPr codeName="Blad3"/>
  <dimension ref="B1:C5"/>
  <sheetViews>
    <sheetView workbookViewId="0">
      <selection activeCell="B2" sqref="B2:C5"/>
    </sheetView>
  </sheetViews>
  <sheetFormatPr defaultRowHeight="14.4" x14ac:dyDescent="0.3"/>
  <cols>
    <col min="2" max="2" width="16.88671875" bestFit="1" customWidth="1"/>
    <col min="3" max="3" width="18.21875" bestFit="1" customWidth="1"/>
  </cols>
  <sheetData>
    <row r="1" spans="2:3" x14ac:dyDescent="0.3">
      <c r="B1" s="36"/>
    </row>
    <row r="2" spans="2:3" x14ac:dyDescent="0.3">
      <c r="B2" s="1" t="s">
        <v>72</v>
      </c>
      <c r="C2" s="2" t="s">
        <v>29</v>
      </c>
    </row>
    <row r="3" spans="2:3" x14ac:dyDescent="0.3">
      <c r="B3" s="1" t="s">
        <v>73</v>
      </c>
      <c r="C3" s="2" t="s">
        <v>30</v>
      </c>
    </row>
    <row r="5" spans="2:3" x14ac:dyDescent="0.3">
      <c r="C5" t="s">
        <v>74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Werkbladen</vt:lpstr>
      </vt:variant>
      <vt:variant>
        <vt:i4>8</vt:i4>
      </vt:variant>
      <vt:variant>
        <vt:lpstr>Benoemde bereiken</vt:lpstr>
      </vt:variant>
      <vt:variant>
        <vt:i4>18</vt:i4>
      </vt:variant>
    </vt:vector>
  </HeadingPairs>
  <TitlesOfParts>
    <vt:vector size="26" baseType="lpstr">
      <vt:lpstr>KRAKEN</vt:lpstr>
      <vt:lpstr>Bittrex</vt:lpstr>
      <vt:lpstr>Binance</vt:lpstr>
      <vt:lpstr>Poloniex</vt:lpstr>
      <vt:lpstr>WEXnz</vt:lpstr>
      <vt:lpstr>Cryptopia</vt:lpstr>
      <vt:lpstr>Liqui</vt:lpstr>
      <vt:lpstr>Coinone</vt:lpstr>
      <vt:lpstr>apikey_binance</vt:lpstr>
      <vt:lpstr>apikey_bittrex</vt:lpstr>
      <vt:lpstr>apikey_btce</vt:lpstr>
      <vt:lpstr>apikey_coinone</vt:lpstr>
      <vt:lpstr>apikey_cryptopia</vt:lpstr>
      <vt:lpstr>apikey_kraken</vt:lpstr>
      <vt:lpstr>apikey_liqui</vt:lpstr>
      <vt:lpstr>apikey_poloniex</vt:lpstr>
      <vt:lpstr>apikey_wexnz</vt:lpstr>
      <vt:lpstr>secretkey_binance</vt:lpstr>
      <vt:lpstr>secretkey_bittrex</vt:lpstr>
      <vt:lpstr>secretkey_btce</vt:lpstr>
      <vt:lpstr>secretkey_coinone</vt:lpstr>
      <vt:lpstr>secretkey_cryptopia</vt:lpstr>
      <vt:lpstr>secretkey_kraken</vt:lpstr>
      <vt:lpstr>secretkey_liqui</vt:lpstr>
      <vt:lpstr>secretkey_poloniex</vt:lpstr>
      <vt:lpstr>secretkey_wexnz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crypto_vba</dc:title>
  <dc:subject>crypto_vba</dc:subject>
  <dc:creator>Castoro;Koen Rijnsent</dc:creator>
  <cp:lastModifiedBy>Koen Rijnsent</cp:lastModifiedBy>
  <dcterms:created xsi:type="dcterms:W3CDTF">2017-05-23T15:57:57Z</dcterms:created>
  <dcterms:modified xsi:type="dcterms:W3CDTF">2018-01-10T14:39:43Z</dcterms:modified>
</cp:coreProperties>
</file>