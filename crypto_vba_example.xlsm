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bookViews>
    <workbookView visibility="hidden" xWindow="0" yWindow="0" windowWidth="17256" windowHeight="5928" activeTab="1"/>
  </bookViews>
  <sheets>
    <sheet name="KRAKEN" sheetId="1" r:id="rId1"/>
    <sheet name="BTCe" sheetId="2" r:id="rId2"/>
  </sheets>
  <functionGroups builtInGroupCount="18"/>
  <definedNames>
    <definedName name="apikey_btce">BTCe!$C$2</definedName>
    <definedName name="apikey_kraken">KRAKEN!$C$2</definedName>
    <definedName name="secretkey_btce">BTCe!$C$3</definedName>
    <definedName name="secretkey_kraken">KRAKEN!$C$3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2" i="2" l="1"/>
  <c r="L31" i="2"/>
  <c r="K37" i="2"/>
  <c r="K38" i="2"/>
</calcChain>
</file>

<file path=xl/sharedStrings.xml><?xml version="1.0" encoding="utf-8"?>
<sst xmlns="http://schemas.openxmlformats.org/spreadsheetml/2006/main" count="143" uniqueCount="54">
  <si>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</si>
  <si>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</si>
  <si>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</si>
  <si>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</si>
  <si>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</si>
  <si>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</si>
  <si>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</si>
  <si>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</si>
  <si>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refid</t>
  </si>
  <si>
    <t>time</t>
  </si>
  <si>
    <t>type</t>
  </si>
  <si>
    <t>aclass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</si>
  <si>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</si>
  <si>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</si>
  <si>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</si>
  <si>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</si>
  <si>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</si>
  <si>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</si>
  <si>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</si>
  <si>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</si>
  <si>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</si>
  <si>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</si>
  <si>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</si>
  <si>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</si>
  <si>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</si>
  <si>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</si>
  <si>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</si>
  <si>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Column1</t>
  </si>
  <si>
    <t>Kraken deposits</t>
  </si>
  <si>
    <t>Tue, 30 May 17 11:56:50 +0000</t>
  </si>
  <si>
    <t>your api key here</t>
  </si>
  <si>
    <t>your secret key here</t>
  </si>
  <si>
    <t>apikey_btce</t>
  </si>
  <si>
    <t>secretkey_btce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</si>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</sst>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8" xfId="0" applyFont="1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0" fontId="0" fillId="0" borderId="8" xfId="0" applyBorder="1"/>
    <xf numFmtId="0" fontId="0" fillId="0" borderId="0" xfId="0" applyBorder="1"/>
    <xf numFmtId="0" fontId="0" fillId="0" borderId="7" xfId="0" applyBorder="1"/>
    <xf numFmtId="164" fontId="0" fillId="0" borderId="0" xfId="1" applyFont="1"/>
    <xf numFmtId="164" fontId="0" fillId="0" borderId="0" xfId="1" applyFont="1" applyBorder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Fill="1" applyBorder="1"/>
    <xf numFmtId="15" fontId="0" fillId="0" borderId="10" xfId="0" applyNumberFormat="1" applyBorder="1"/>
    <xf numFmtId="15" fontId="0" fillId="0" borderId="11" xfId="0" applyNumberFormat="1" applyBorder="1"/>
  </cellXfs>
  <cellStyles count="2">
    <cellStyle name="Comma" xfId="1" builtinId="3"/>
    <cellStyle name="Normal" xfId="0" builtinId="0"/>
  </cellStyles>
  <dxfs count="2">
    <dxf>
      <numFmt numFmtId="165" formatCode="d\-mmm\-yy"/>
    </dxf>
    <dxf>
      <numFmt numFmtId="165" formatCode="d\-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4" name="Tbl_Kraken_Ledgers" displayName="Tbl_Kraken_Ledgers" ref="B20:M21" insertRow="1" totalsRowShown="0">
  <autoFilter ref="B20:M21"/>
  <tableColumns count="12">
    <tableColumn id="1" name="GROUP_1"/>
    <tableColumn id="2" name="GROUP_2"/>
    <tableColumn id="3" name="GROUP_3"/>
    <tableColumn id="4" name="refid"/>
    <tableColumn id="5" name="time"/>
    <tableColumn id="6" name="type"/>
    <tableColumn id="7" name="aclass"/>
    <tableColumn id="8" name="asset"/>
    <tableColumn id="9" name="amount"/>
    <tableColumn id="10" name="fee"/>
    <tableColumn id="11" name="balance"/>
    <tableColumn id="12" name="Column1" dataDxfId="1">
      <calculatedColumnFormula>UnixTimeToDate(Tbl_Kraken_Ledgers[[#This Row],[time]])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bl_BTCe_Trades" displayName="Tbl_BTCe_Trades" ref="B36:K38" totalsRowShown="0">
  <autoFilter ref="B36:K38"/>
  <tableColumns count="10">
    <tableColumn id="1" name="GROUP_1"/>
    <tableColumn id="2" name="GROUP_2"/>
    <tableColumn id="3" name="pair"/>
    <tableColumn id="4" name="type"/>
    <tableColumn id="5" name="amount" dataCellStyle="Comma"/>
    <tableColumn id="6" name="rate" dataCellStyle="Comma"/>
    <tableColumn id="7" name="order_id"/>
    <tableColumn id="8" name="is_your_order"/>
    <tableColumn id="9" name="timestamp"/>
    <tableColumn id="10" name="date" dataDxfId="0">
      <calculatedColumnFormula>UnixTimeToDate(Tbl_BTCe_Trades[[#This Row],[timestamp]])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M21"/>
  <sheetViews>
    <sheetView zoomScale="85" zoomScaleNormal="85" workbookViewId="0">
      <selection activeCell="C2" sqref="C2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30</v>
      </c>
    </row>
    <row r="3" spans="2:6" x14ac:dyDescent="0.3">
      <c r="B3" s="1" t="s">
        <v>5</v>
      </c>
      <c r="C3" s="2" t="s">
        <v>31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9" t="s">
        <v>16</v>
      </c>
      <c r="C6" s="10" t="s">
        <v>17</v>
      </c>
      <c r="D6" s="10" t="s">
        <v>18</v>
      </c>
      <c r="E6" s="10" t="s">
        <v>19</v>
      </c>
      <c r="F6" s="11" t="s">
        <v>20</v>
      </c>
    </row>
    <row r="7" spans="2:6" x14ac:dyDescent="0.3">
      <c r="B7" s="17">
        <v>1</v>
      </c>
      <c r="C7" s="15" t="s">
        <v>21</v>
      </c>
      <c r="D7" s="15" t="s">
        <v>22</v>
      </c>
      <c r="E7" s="15">
        <v>0</v>
      </c>
      <c r="F7" s="16" t="s">
        <v>23</v>
      </c>
    </row>
    <row r="8" spans="2:6" x14ac:dyDescent="0.3">
      <c r="B8" s="17">
        <v>1</v>
      </c>
      <c r="C8" s="15" t="s">
        <v>21</v>
      </c>
      <c r="D8" s="15" t="s">
        <v>4</v>
      </c>
      <c r="E8" s="15">
        <v>2</v>
      </c>
      <c r="F8" s="16" t="s">
        <v>23</v>
      </c>
    </row>
    <row r="9" spans="2:6" x14ac:dyDescent="0.3">
      <c r="B9" s="17">
        <v>2</v>
      </c>
      <c r="C9" s="15" t="s">
        <v>4</v>
      </c>
      <c r="D9" s="15" t="s">
        <v>2</v>
      </c>
      <c r="E9" s="15">
        <v>1496145410</v>
      </c>
      <c r="F9" s="16" t="s">
        <v>24</v>
      </c>
    </row>
    <row r="10" spans="2:6" ht="15" thickBot="1" x14ac:dyDescent="0.35">
      <c r="B10" s="12">
        <v>2</v>
      </c>
      <c r="C10" s="13" t="s">
        <v>4</v>
      </c>
      <c r="D10" s="13" t="s">
        <v>3</v>
      </c>
      <c r="E10" s="13" t="s">
        <v>29</v>
      </c>
      <c r="F10" s="14" t="s">
        <v>24</v>
      </c>
    </row>
    <row r="13" spans="2:6" ht="15" thickBot="1" x14ac:dyDescent="0.35">
      <c r="B13" s="18" t="s">
        <v>26</v>
      </c>
      <c r="C13" s="19"/>
      <c r="D13" s="19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1496145410</v>
      </c>
      <c r="D15" s="8" t="s">
        <v>29</v>
      </c>
    </row>
    <row r="19" spans="2:13" x14ac:dyDescent="0.3">
      <c r="B19" s="18" t="s">
        <v>28</v>
      </c>
      <c r="C19" s="18"/>
      <c r="D19" s="18"/>
    </row>
    <row r="20" spans="2:13" x14ac:dyDescent="0.3">
      <c r="B20" t="s">
        <v>1</v>
      </c>
      <c r="C20" t="s">
        <v>6</v>
      </c>
      <c r="D20" t="s">
        <v>7</v>
      </c>
      <c r="E20" t="s">
        <v>8</v>
      </c>
      <c r="F20" t="s">
        <v>9</v>
      </c>
      <c r="G20" t="s">
        <v>10</v>
      </c>
      <c r="H20" t="s">
        <v>11</v>
      </c>
      <c r="I20" t="s">
        <v>12</v>
      </c>
      <c r="J20" t="s">
        <v>13</v>
      </c>
      <c r="K20" t="s">
        <v>14</v>
      </c>
      <c r="L20" t="s">
        <v>15</v>
      </c>
      <c r="M20" t="s">
        <v>27</v>
      </c>
    </row>
    <row r="21" spans="2:13" x14ac:dyDescent="0.3">
      <c r="M21" s="20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L38"/>
  <sheetViews>
    <sheetView tabSelected="1" workbookViewId="0">
      <selection activeCell="I14" sqref="I14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2" spans="2:6" x14ac:dyDescent="0.3">
      <c r="B2" s="1" t="s">
        <v>32</v>
      </c>
      <c r="C2" s="2" t="s">
        <v>30</v>
      </c>
    </row>
    <row r="3" spans="2:6" x14ac:dyDescent="0.3">
      <c r="B3" s="1" t="s">
        <v>33</v>
      </c>
      <c r="C3" s="2" t="s">
        <v>31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3" t="s">
        <v>16</v>
      </c>
      <c r="C6" s="4" t="s">
        <v>17</v>
      </c>
      <c r="D6" s="4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34</v>
      </c>
      <c r="E7" s="22">
        <v>9</v>
      </c>
      <c r="F7" s="23" t="s">
        <v>23</v>
      </c>
    </row>
    <row r="8" spans="2:6" x14ac:dyDescent="0.3">
      <c r="B8" s="21">
        <v>2</v>
      </c>
      <c r="C8" s="22" t="s">
        <v>34</v>
      </c>
      <c r="D8" s="22" t="s">
        <v>35</v>
      </c>
      <c r="E8" s="25">
        <v>2449.6142100000002</v>
      </c>
      <c r="F8" s="23" t="s">
        <v>24</v>
      </c>
    </row>
    <row r="9" spans="2:6" x14ac:dyDescent="0.3">
      <c r="B9" s="21">
        <v>2</v>
      </c>
      <c r="C9" s="22" t="s">
        <v>34</v>
      </c>
      <c r="D9" s="22" t="s">
        <v>36</v>
      </c>
      <c r="E9" s="25">
        <v>2330</v>
      </c>
      <c r="F9" s="23" t="s">
        <v>24</v>
      </c>
    </row>
    <row r="10" spans="2:6" x14ac:dyDescent="0.3">
      <c r="B10" s="21">
        <v>2</v>
      </c>
      <c r="C10" s="22" t="s">
        <v>34</v>
      </c>
      <c r="D10" s="22" t="s">
        <v>37</v>
      </c>
      <c r="E10" s="25">
        <v>2389.8071049999999</v>
      </c>
      <c r="F10" s="23" t="s">
        <v>24</v>
      </c>
    </row>
    <row r="11" spans="2:6" x14ac:dyDescent="0.3">
      <c r="B11" s="21">
        <v>2</v>
      </c>
      <c r="C11" s="22" t="s">
        <v>34</v>
      </c>
      <c r="D11" s="22" t="s">
        <v>38</v>
      </c>
      <c r="E11" s="25">
        <v>453713.54395000002</v>
      </c>
      <c r="F11" s="23" t="s">
        <v>24</v>
      </c>
    </row>
    <row r="12" spans="2:6" x14ac:dyDescent="0.3">
      <c r="B12" s="21">
        <v>2</v>
      </c>
      <c r="C12" s="22" t="s">
        <v>34</v>
      </c>
      <c r="D12" s="22" t="s">
        <v>39</v>
      </c>
      <c r="E12" s="25">
        <v>190.49576999999999</v>
      </c>
      <c r="F12" s="23" t="s">
        <v>24</v>
      </c>
    </row>
    <row r="13" spans="2:6" x14ac:dyDescent="0.3">
      <c r="B13" s="21">
        <v>2</v>
      </c>
      <c r="C13" s="22" t="s">
        <v>34</v>
      </c>
      <c r="D13" s="22" t="s">
        <v>40</v>
      </c>
      <c r="E13" s="25">
        <v>2430.0666799999999</v>
      </c>
      <c r="F13" s="23" t="s">
        <v>24</v>
      </c>
    </row>
    <row r="14" spans="2:6" x14ac:dyDescent="0.3">
      <c r="B14" s="21">
        <v>2</v>
      </c>
      <c r="C14" s="22" t="s">
        <v>34</v>
      </c>
      <c r="D14" s="22" t="s">
        <v>41</v>
      </c>
      <c r="E14" s="25">
        <v>2447.9999899999998</v>
      </c>
      <c r="F14" s="23" t="s">
        <v>24</v>
      </c>
    </row>
    <row r="15" spans="2:6" x14ac:dyDescent="0.3">
      <c r="B15" s="21">
        <v>2</v>
      </c>
      <c r="C15" s="22" t="s">
        <v>34</v>
      </c>
      <c r="D15" s="22" t="s">
        <v>42</v>
      </c>
      <c r="E15" s="25">
        <v>2430.1</v>
      </c>
      <c r="F15" s="23" t="s">
        <v>24</v>
      </c>
    </row>
    <row r="16" spans="2:6" x14ac:dyDescent="0.3">
      <c r="B16" s="21">
        <v>2</v>
      </c>
      <c r="C16" s="22" t="s">
        <v>34</v>
      </c>
      <c r="D16" s="22" t="s">
        <v>43</v>
      </c>
      <c r="E16" s="22">
        <v>1497027712</v>
      </c>
      <c r="F16" s="23" t="s">
        <v>24</v>
      </c>
    </row>
    <row r="17" spans="2:12" x14ac:dyDescent="0.3">
      <c r="B17" s="21">
        <v>1</v>
      </c>
      <c r="C17" s="22" t="s">
        <v>21</v>
      </c>
      <c r="D17" s="22" t="s">
        <v>44</v>
      </c>
      <c r="E17" s="22">
        <v>9</v>
      </c>
      <c r="F17" s="23" t="s">
        <v>23</v>
      </c>
    </row>
    <row r="18" spans="2:12" x14ac:dyDescent="0.3">
      <c r="B18" s="21">
        <v>2</v>
      </c>
      <c r="C18" s="22" t="s">
        <v>44</v>
      </c>
      <c r="D18" s="22" t="s">
        <v>35</v>
      </c>
      <c r="E18" s="25">
        <v>239</v>
      </c>
      <c r="F18" s="23" t="s">
        <v>24</v>
      </c>
    </row>
    <row r="19" spans="2:12" x14ac:dyDescent="0.3">
      <c r="B19" s="21">
        <v>2</v>
      </c>
      <c r="C19" s="22" t="s">
        <v>44</v>
      </c>
      <c r="D19" s="22" t="s">
        <v>36</v>
      </c>
      <c r="E19" s="25">
        <v>217.56179</v>
      </c>
      <c r="F19" s="23" t="s">
        <v>24</v>
      </c>
    </row>
    <row r="20" spans="2:12" x14ac:dyDescent="0.3">
      <c r="B20" s="21">
        <v>2</v>
      </c>
      <c r="C20" s="22" t="s">
        <v>44</v>
      </c>
      <c r="D20" s="22" t="s">
        <v>37</v>
      </c>
      <c r="E20" s="25">
        <v>228.28089499999999</v>
      </c>
      <c r="F20" s="23" t="s">
        <v>24</v>
      </c>
    </row>
    <row r="21" spans="2:12" x14ac:dyDescent="0.3">
      <c r="B21" s="21">
        <v>2</v>
      </c>
      <c r="C21" s="22" t="s">
        <v>44</v>
      </c>
      <c r="D21" s="22" t="s">
        <v>38</v>
      </c>
      <c r="E21" s="25">
        <v>96744.346619999997</v>
      </c>
      <c r="F21" s="23" t="s">
        <v>24</v>
      </c>
    </row>
    <row r="22" spans="2:12" x14ac:dyDescent="0.3">
      <c r="B22" s="21">
        <v>2</v>
      </c>
      <c r="C22" s="22" t="s">
        <v>44</v>
      </c>
      <c r="D22" s="22" t="s">
        <v>39</v>
      </c>
      <c r="E22" s="25">
        <v>427.27568000000002</v>
      </c>
      <c r="F22" s="23" t="s">
        <v>24</v>
      </c>
    </row>
    <row r="23" spans="2:12" x14ac:dyDescent="0.3">
      <c r="B23" s="21">
        <v>2</v>
      </c>
      <c r="C23" s="22" t="s">
        <v>44</v>
      </c>
      <c r="D23" s="22" t="s">
        <v>40</v>
      </c>
      <c r="E23" s="25">
        <v>237.83841000000001</v>
      </c>
      <c r="F23" s="23" t="s">
        <v>24</v>
      </c>
    </row>
    <row r="24" spans="2:12" x14ac:dyDescent="0.3">
      <c r="B24" s="21">
        <v>2</v>
      </c>
      <c r="C24" s="22" t="s">
        <v>44</v>
      </c>
      <c r="D24" s="22" t="s">
        <v>41</v>
      </c>
      <c r="E24" s="25">
        <v>237.54508000000001</v>
      </c>
      <c r="F24" s="23" t="s">
        <v>24</v>
      </c>
    </row>
    <row r="25" spans="2:12" x14ac:dyDescent="0.3">
      <c r="B25" s="21">
        <v>2</v>
      </c>
      <c r="C25" s="22" t="s">
        <v>44</v>
      </c>
      <c r="D25" s="22" t="s">
        <v>42</v>
      </c>
      <c r="E25" s="25">
        <v>235.65606</v>
      </c>
      <c r="F25" s="23" t="s">
        <v>24</v>
      </c>
    </row>
    <row r="26" spans="2:12" ht="15" thickBot="1" x14ac:dyDescent="0.35">
      <c r="B26" s="6">
        <v>2</v>
      </c>
      <c r="C26" s="7" t="s">
        <v>44</v>
      </c>
      <c r="D26" s="7" t="s">
        <v>43</v>
      </c>
      <c r="E26" s="7">
        <v>1497027712</v>
      </c>
      <c r="F26" s="8" t="s">
        <v>24</v>
      </c>
    </row>
    <row r="29" spans="2:12" ht="15" thickBot="1" x14ac:dyDescent="0.35">
      <c r="B29" s="18" t="s">
        <v>26</v>
      </c>
      <c r="C29" s="19"/>
      <c r="D29" s="19"/>
    </row>
    <row r="30" spans="2:12" x14ac:dyDescent="0.3">
      <c r="B30" s="27" t="s">
        <v>1</v>
      </c>
      <c r="C30" s="28" t="s">
        <v>35</v>
      </c>
      <c r="D30" s="28" t="s">
        <v>36</v>
      </c>
      <c r="E30" s="28" t="s">
        <v>37</v>
      </c>
      <c r="F30" s="28" t="s">
        <v>38</v>
      </c>
      <c r="G30" s="28" t="s">
        <v>39</v>
      </c>
      <c r="H30" s="28" t="s">
        <v>40</v>
      </c>
      <c r="I30" s="28" t="s">
        <v>41</v>
      </c>
      <c r="J30" s="28" t="s">
        <v>42</v>
      </c>
      <c r="K30" s="29" t="s">
        <v>43</v>
      </c>
      <c r="L30" s="32" t="s">
        <v>45</v>
      </c>
    </row>
    <row r="31" spans="2:12" x14ac:dyDescent="0.3">
      <c r="B31" s="21" t="s">
        <v>34</v>
      </c>
      <c r="C31" s="25">
        <v>2449.6142100000002</v>
      </c>
      <c r="D31" s="25">
        <v>2330</v>
      </c>
      <c r="E31" s="25">
        <v>2389.8071049999999</v>
      </c>
      <c r="F31" s="25">
        <v>453713.54395000002</v>
      </c>
      <c r="G31" s="25">
        <v>190.49576999999999</v>
      </c>
      <c r="H31" s="25">
        <v>2430.0666799999999</v>
      </c>
      <c r="I31" s="25">
        <v>2447.9999899999998</v>
      </c>
      <c r="J31" s="25">
        <v>2430.1</v>
      </c>
      <c r="K31" s="30">
        <v>1497027712</v>
      </c>
      <c r="L31" s="33">
        <f>UnixTimeToDate(K31)</f>
        <v>42895.709629629629</v>
      </c>
    </row>
    <row r="32" spans="2:12" ht="15" thickBot="1" x14ac:dyDescent="0.35">
      <c r="B32" s="6" t="s">
        <v>44</v>
      </c>
      <c r="C32" s="26">
        <v>239</v>
      </c>
      <c r="D32" s="26">
        <v>217.56179</v>
      </c>
      <c r="E32" s="26">
        <v>228.28089499999999</v>
      </c>
      <c r="F32" s="26">
        <v>96744.346619999997</v>
      </c>
      <c r="G32" s="26">
        <v>427.27568000000002</v>
      </c>
      <c r="H32" s="26">
        <v>237.83841000000001</v>
      </c>
      <c r="I32" s="26">
        <v>237.54508000000001</v>
      </c>
      <c r="J32" s="26">
        <v>235.65606</v>
      </c>
      <c r="K32" s="31">
        <v>1497027712</v>
      </c>
      <c r="L32" s="34">
        <f>UnixTimeToDate(K32)</f>
        <v>42895.709629629629</v>
      </c>
    </row>
    <row r="35" spans="2:11" x14ac:dyDescent="0.3">
      <c r="B35" s="18" t="s">
        <v>53</v>
      </c>
      <c r="C35" s="18"/>
      <c r="D35" s="18"/>
    </row>
    <row r="36" spans="2:11" x14ac:dyDescent="0.3">
      <c r="B36" t="s">
        <v>1</v>
      </c>
      <c r="C36" t="s">
        <v>6</v>
      </c>
      <c r="D36" t="s">
        <v>47</v>
      </c>
      <c r="E36" t="s">
        <v>10</v>
      </c>
      <c r="F36" t="s">
        <v>13</v>
      </c>
      <c r="G36" t="s">
        <v>48</v>
      </c>
      <c r="H36" t="s">
        <v>49</v>
      </c>
      <c r="I36" t="s">
        <v>50</v>
      </c>
      <c r="J36" t="s">
        <v>51</v>
      </c>
      <c r="K36" t="s">
        <v>52</v>
      </c>
    </row>
    <row r="37" spans="2:11" x14ac:dyDescent="0.3">
      <c r="B37" t="s">
        <v>46</v>
      </c>
      <c r="C37">
        <v>101929500</v>
      </c>
      <c r="D37" t="s">
        <v>34</v>
      </c>
      <c r="E37" t="s">
        <v>42</v>
      </c>
      <c r="F37" s="24">
        <v>7.0000000000000007E-2</v>
      </c>
      <c r="G37" s="24">
        <v>1509.03</v>
      </c>
      <c r="H37">
        <v>1766540000</v>
      </c>
      <c r="I37">
        <v>1</v>
      </c>
      <c r="J37">
        <v>1494653192</v>
      </c>
      <c r="K37" s="20">
        <f>UnixTimeToDate(Tbl_BTCe_Trades[[#This Row],[timestamp]])</f>
        <v>42868.226759259262</v>
      </c>
    </row>
    <row r="38" spans="2:11" x14ac:dyDescent="0.3">
      <c r="B38" t="s">
        <v>46</v>
      </c>
      <c r="C38">
        <v>101929500</v>
      </c>
      <c r="D38" t="s">
        <v>34</v>
      </c>
      <c r="E38" t="s">
        <v>42</v>
      </c>
      <c r="F38" s="24">
        <v>0.06</v>
      </c>
      <c r="G38" s="24">
        <v>1509.03</v>
      </c>
      <c r="H38">
        <v>1766540000</v>
      </c>
      <c r="I38">
        <v>1</v>
      </c>
      <c r="J38">
        <v>1494653191</v>
      </c>
      <c r="K38" s="20">
        <f>UnixTimeToDate(Tbl_BTCe_Trades[[#This Row],[timestamp]])</f>
        <v>42868.226747685185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KRAKEN</vt:lpstr>
      <vt:lpstr>BTCe</vt:lpstr>
      <vt:lpstr>apikey_btce</vt:lpstr>
      <vt:lpstr>apikey_kraken</vt:lpstr>
      <vt:lpstr>secretkey_btce</vt:lpstr>
      <vt:lpstr>secretkey_kraken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Castoro</cp:lastModifiedBy>
  <dcterms:created xsi:type="dcterms:W3CDTF">2017-05-23T15:57:57Z</dcterms:created>
  <dcterms:modified xsi:type="dcterms:W3CDTF">2017-06-15T21:55:54Z</dcterms:modified>
</cp:coreProperties>
</file>