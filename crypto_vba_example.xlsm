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9001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astoro\Documents\GitHub\crypto_vba\"/>
    </mc:Choice>
  </mc:AlternateContent>
  <bookViews>
    <workbookView xWindow="0" yWindow="0" windowWidth="17256" windowHeight="5928" xr2:uid="{00000000-000D-0000-FFFF-FFFF00000000}"/>
  </bookViews>
  <sheets>
    <sheet name="FORMULAS" sheetId="9" r:id="rId1"/>
    <sheet name="RATES_MACRO" sheetId="11" r:id="rId2"/>
    <sheet name="KRAKEN" sheetId="1" r:id="rId3"/>
    <sheet name="Bittrex" sheetId="3" r:id="rId4"/>
    <sheet name="Binance" sheetId="8" r:id="rId5"/>
    <sheet name="Poloniex" sheetId="4" r:id="rId6"/>
    <sheet name="WEXnz" sheetId="2" r:id="rId7"/>
    <sheet name="Kucoin" sheetId="10" r:id="rId8"/>
    <sheet name="Cryptopia" sheetId="7" r:id="rId9"/>
    <sheet name="Liqui" sheetId="5" r:id="rId10"/>
    <sheet name="Coinone" sheetId="6" r:id="rId11"/>
  </sheets>
  <functionGroups builtInGroupCount="19"/>
  <definedNames>
    <definedName name="apikey_binance">Binance!$C$2</definedName>
    <definedName name="apikey_bittrex">Bittrex!$C$2</definedName>
    <definedName name="apikey_btce">WEXnz!$C$2</definedName>
    <definedName name="apikey_coinone">Coinone!$C$2</definedName>
    <definedName name="apikey_cryptopia">Cryptopia!$C$2</definedName>
    <definedName name="apikey_kraken">KRAKEN!$C$2</definedName>
    <definedName name="apikey_kucoin">Kucoin!$C$2</definedName>
    <definedName name="apikey_liqui">Liqui!$C$2</definedName>
    <definedName name="apikey_poloniex">Poloniex!$C$2</definedName>
    <definedName name="apikey_wexnz">WEXnz!$C$2</definedName>
    <definedName name="secretkey_binance">Binance!$C$3</definedName>
    <definedName name="secretkey_bittrex">Bittrex!$C$3</definedName>
    <definedName name="secretkey_btce">WEXnz!$C$3</definedName>
    <definedName name="secretkey_coinone">Coinone!$C$3</definedName>
    <definedName name="secretkey_cryptopia">Cryptopia!$C$3</definedName>
    <definedName name="secretkey_kraken">KRAKEN!$C$3</definedName>
    <definedName name="secretkey_kucoin">Kucoin!$C$3</definedName>
    <definedName name="secretkey_liqui">Liqui!$C$3</definedName>
    <definedName name="secretkey_poloniex">Poloniex!$C$3</definedName>
    <definedName name="secretkey_wexnz">WEXnz!$C$3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2" i="8" l="1"/>
  <c r="L32" i="2"/>
  <c r="L31" i="2"/>
  <c r="L32" i="5"/>
  <c r="K38" i="2"/>
  <c r="K37" i="2"/>
  <c r="L31" i="5"/>
  <c r="D30" i="9"/>
  <c r="D42" i="9"/>
  <c r="D18" i="9"/>
  <c r="D17" i="9"/>
  <c r="D59" i="9" a="1"/>
  <c r="D29" i="9"/>
  <c r="D16" i="9"/>
  <c r="D41" i="9"/>
  <c r="D72" i="9" a="1"/>
  <c r="D72" i="9" l="1"/>
  <c r="H72" i="9"/>
  <c r="D73" i="9"/>
  <c r="H73" i="9"/>
  <c r="D74" i="9"/>
  <c r="H74" i="9"/>
  <c r="D75" i="9"/>
  <c r="H75" i="9"/>
  <c r="D76" i="9"/>
  <c r="H76" i="9"/>
  <c r="D77" i="9"/>
  <c r="H77" i="9"/>
  <c r="D78" i="9"/>
  <c r="H78" i="9"/>
  <c r="D79" i="9"/>
  <c r="H79" i="9"/>
  <c r="D80" i="9"/>
  <c r="H80" i="9"/>
  <c r="D81" i="9"/>
  <c r="H81" i="9"/>
  <c r="D82" i="9"/>
  <c r="H82" i="9"/>
  <c r="D83" i="9"/>
  <c r="H83" i="9"/>
  <c r="D84" i="9"/>
  <c r="H84" i="9"/>
  <c r="D85" i="9"/>
  <c r="H85" i="9"/>
  <c r="D86" i="9"/>
  <c r="H86" i="9"/>
  <c r="D87" i="9"/>
  <c r="H87" i="9"/>
  <c r="D88" i="9"/>
  <c r="H88" i="9"/>
  <c r="D89" i="9"/>
  <c r="H89" i="9"/>
  <c r="D90" i="9"/>
  <c r="H90" i="9"/>
  <c r="D91" i="9"/>
  <c r="H91" i="9"/>
  <c r="D92" i="9"/>
  <c r="H92" i="9"/>
  <c r="D93" i="9"/>
  <c r="H93" i="9"/>
  <c r="D94" i="9"/>
  <c r="H94" i="9"/>
  <c r="D95" i="9"/>
  <c r="H95" i="9"/>
  <c r="D96" i="9"/>
  <c r="H96" i="9"/>
  <c r="D97" i="9"/>
  <c r="H97" i="9"/>
  <c r="D98" i="9"/>
  <c r="H98" i="9"/>
  <c r="D99" i="9"/>
  <c r="H99" i="9"/>
  <c r="D100" i="9"/>
  <c r="H100" i="9"/>
  <c r="D101" i="9"/>
  <c r="H101" i="9"/>
  <c r="D102" i="9"/>
  <c r="H102" i="9"/>
  <c r="D103" i="9"/>
  <c r="H103" i="9"/>
  <c r="D104" i="9"/>
  <c r="H104" i="9"/>
  <c r="D105" i="9"/>
  <c r="H105" i="9"/>
  <c r="D106" i="9"/>
  <c r="H106" i="9"/>
  <c r="D107" i="9"/>
  <c r="H107" i="9"/>
  <c r="D108" i="9"/>
  <c r="H108" i="9"/>
  <c r="D109" i="9"/>
  <c r="H109" i="9"/>
  <c r="D110" i="9"/>
  <c r="H110" i="9"/>
  <c r="D111" i="9"/>
  <c r="H111" i="9"/>
  <c r="D112" i="9"/>
  <c r="H112" i="9"/>
  <c r="D113" i="9"/>
  <c r="H113" i="9"/>
  <c r="D114" i="9"/>
  <c r="E72" i="9"/>
  <c r="I72" i="9"/>
  <c r="E73" i="9"/>
  <c r="I73" i="9"/>
  <c r="E74" i="9"/>
  <c r="I74" i="9"/>
  <c r="E75" i="9"/>
  <c r="I75" i="9"/>
  <c r="E76" i="9"/>
  <c r="I76" i="9"/>
  <c r="E77" i="9"/>
  <c r="I77" i="9"/>
  <c r="E78" i="9"/>
  <c r="I78" i="9"/>
  <c r="E79" i="9"/>
  <c r="I79" i="9"/>
  <c r="E80" i="9"/>
  <c r="I80" i="9"/>
  <c r="E81" i="9"/>
  <c r="I81" i="9"/>
  <c r="E82" i="9"/>
  <c r="I82" i="9"/>
  <c r="E83" i="9"/>
  <c r="I83" i="9"/>
  <c r="E84" i="9"/>
  <c r="I84" i="9"/>
  <c r="E85" i="9"/>
  <c r="I85" i="9"/>
  <c r="E86" i="9"/>
  <c r="I86" i="9"/>
  <c r="E87" i="9"/>
  <c r="I87" i="9"/>
  <c r="E88" i="9"/>
  <c r="I88" i="9"/>
  <c r="E89" i="9"/>
  <c r="I89" i="9"/>
  <c r="E90" i="9"/>
  <c r="I90" i="9"/>
  <c r="E91" i="9"/>
  <c r="I91" i="9"/>
  <c r="E92" i="9"/>
  <c r="I92" i="9"/>
  <c r="E93" i="9"/>
  <c r="I93" i="9"/>
  <c r="E94" i="9"/>
  <c r="I94" i="9"/>
  <c r="E95" i="9"/>
  <c r="I95" i="9"/>
  <c r="E96" i="9"/>
  <c r="I96" i="9"/>
  <c r="E97" i="9"/>
  <c r="I97" i="9"/>
  <c r="E98" i="9"/>
  <c r="I98" i="9"/>
  <c r="E99" i="9"/>
  <c r="I99" i="9"/>
  <c r="E100" i="9"/>
  <c r="I100" i="9"/>
  <c r="E101" i="9"/>
  <c r="I101" i="9"/>
  <c r="E102" i="9"/>
  <c r="I102" i="9"/>
  <c r="E103" i="9"/>
  <c r="I103" i="9"/>
  <c r="E104" i="9"/>
  <c r="I104" i="9"/>
  <c r="E105" i="9"/>
  <c r="I105" i="9"/>
  <c r="E106" i="9"/>
  <c r="I106" i="9"/>
  <c r="E107" i="9"/>
  <c r="I107" i="9"/>
  <c r="E108" i="9"/>
  <c r="I108" i="9"/>
  <c r="E109" i="9"/>
  <c r="I109" i="9"/>
  <c r="E110" i="9"/>
  <c r="I110" i="9"/>
  <c r="E111" i="9"/>
  <c r="I111" i="9"/>
  <c r="E112" i="9"/>
  <c r="I112" i="9"/>
  <c r="E113" i="9"/>
  <c r="I113" i="9"/>
  <c r="E114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F107" i="9"/>
  <c r="F108" i="9"/>
  <c r="F109" i="9"/>
  <c r="F110" i="9"/>
  <c r="F111" i="9"/>
  <c r="F112" i="9"/>
  <c r="F113" i="9"/>
  <c r="F114" i="9"/>
  <c r="J114" i="9"/>
  <c r="F115" i="9"/>
  <c r="J115" i="9"/>
  <c r="F116" i="9"/>
  <c r="J116" i="9"/>
  <c r="F117" i="9"/>
  <c r="J117" i="9"/>
  <c r="F118" i="9"/>
  <c r="J118" i="9"/>
  <c r="F119" i="9"/>
  <c r="J119" i="9"/>
  <c r="F120" i="9"/>
  <c r="J120" i="9"/>
  <c r="K74" i="9"/>
  <c r="K89" i="9"/>
  <c r="K94" i="9"/>
  <c r="K99" i="9"/>
  <c r="K102" i="9"/>
  <c r="K105" i="9"/>
  <c r="K108" i="9"/>
  <c r="K111" i="9"/>
  <c r="I114" i="9"/>
  <c r="E116" i="9"/>
  <c r="I117" i="9"/>
  <c r="E119" i="9"/>
  <c r="I120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K114" i="9"/>
  <c r="G115" i="9"/>
  <c r="K115" i="9"/>
  <c r="G116" i="9"/>
  <c r="K116" i="9"/>
  <c r="G117" i="9"/>
  <c r="K117" i="9"/>
  <c r="G118" i="9"/>
  <c r="K118" i="9"/>
  <c r="G119" i="9"/>
  <c r="K119" i="9"/>
  <c r="G120" i="9"/>
  <c r="K120" i="9"/>
  <c r="D118" i="9"/>
  <c r="D119" i="9"/>
  <c r="D120" i="9"/>
  <c r="K73" i="9"/>
  <c r="K75" i="9"/>
  <c r="K77" i="9"/>
  <c r="K79" i="9"/>
  <c r="K81" i="9"/>
  <c r="K83" i="9"/>
  <c r="K85" i="9"/>
  <c r="K87" i="9"/>
  <c r="K88" i="9"/>
  <c r="K91" i="9"/>
  <c r="K92" i="9"/>
  <c r="K96" i="9"/>
  <c r="K98" i="9"/>
  <c r="K101" i="9"/>
  <c r="K103" i="9"/>
  <c r="K106" i="9"/>
  <c r="K109" i="9"/>
  <c r="K112" i="9"/>
  <c r="E115" i="9"/>
  <c r="I116" i="9"/>
  <c r="E118" i="9"/>
  <c r="I119" i="9"/>
  <c r="J72" i="9"/>
  <c r="J73" i="9"/>
  <c r="J74" i="9"/>
  <c r="J75" i="9"/>
  <c r="J76" i="9"/>
  <c r="J77" i="9"/>
  <c r="J78" i="9"/>
  <c r="J79" i="9"/>
  <c r="J80" i="9"/>
  <c r="J81" i="9"/>
  <c r="J82" i="9"/>
  <c r="J83" i="9"/>
  <c r="J84" i="9"/>
  <c r="J85" i="9"/>
  <c r="J86" i="9"/>
  <c r="J87" i="9"/>
  <c r="J88" i="9"/>
  <c r="J89" i="9"/>
  <c r="J90" i="9"/>
  <c r="J91" i="9"/>
  <c r="J92" i="9"/>
  <c r="J93" i="9"/>
  <c r="J94" i="9"/>
  <c r="J95" i="9"/>
  <c r="J96" i="9"/>
  <c r="J97" i="9"/>
  <c r="J98" i="9"/>
  <c r="J99" i="9"/>
  <c r="J100" i="9"/>
  <c r="J101" i="9"/>
  <c r="J102" i="9"/>
  <c r="J103" i="9"/>
  <c r="J104" i="9"/>
  <c r="J105" i="9"/>
  <c r="J106" i="9"/>
  <c r="J107" i="9"/>
  <c r="J108" i="9"/>
  <c r="J109" i="9"/>
  <c r="J110" i="9"/>
  <c r="J111" i="9"/>
  <c r="J112" i="9"/>
  <c r="J113" i="9"/>
  <c r="H114" i="9"/>
  <c r="D115" i="9"/>
  <c r="H115" i="9"/>
  <c r="D116" i="9"/>
  <c r="H116" i="9"/>
  <c r="D117" i="9"/>
  <c r="H117" i="9"/>
  <c r="H118" i="9"/>
  <c r="H119" i="9"/>
  <c r="H120" i="9"/>
  <c r="K72" i="9"/>
  <c r="K76" i="9"/>
  <c r="K78" i="9"/>
  <c r="K80" i="9"/>
  <c r="K82" i="9"/>
  <c r="K84" i="9"/>
  <c r="K86" i="9"/>
  <c r="K90" i="9"/>
  <c r="K93" i="9"/>
  <c r="K95" i="9"/>
  <c r="K97" i="9"/>
  <c r="K100" i="9"/>
  <c r="K104" i="9"/>
  <c r="K107" i="9"/>
  <c r="K110" i="9"/>
  <c r="K113" i="9"/>
  <c r="I115" i="9"/>
  <c r="E117" i="9"/>
  <c r="I118" i="9"/>
  <c r="E120" i="9"/>
  <c r="D60" i="9"/>
  <c r="E65" i="9"/>
  <c r="F60" i="9"/>
  <c r="F59" i="9"/>
  <c r="D59" i="9"/>
  <c r="E64" i="9"/>
  <c r="F69" i="9"/>
  <c r="E67" i="9"/>
  <c r="D69" i="9"/>
  <c r="E61" i="9"/>
  <c r="F66" i="9"/>
  <c r="E63" i="9"/>
  <c r="E62" i="9"/>
  <c r="E60" i="9"/>
  <c r="F65" i="9"/>
  <c r="E59" i="9"/>
  <c r="D61" i="9"/>
  <c r="F62" i="9"/>
  <c r="D68" i="9"/>
  <c r="D66" i="9"/>
  <c r="D65" i="9"/>
  <c r="F61" i="9"/>
  <c r="D67" i="9"/>
  <c r="D62" i="9"/>
  <c r="F63" i="9"/>
  <c r="D64" i="9"/>
  <c r="D63" i="9"/>
  <c r="E69" i="9"/>
  <c r="E68" i="9"/>
  <c r="F67" i="9"/>
  <c r="E66" i="9"/>
  <c r="F68" i="9"/>
  <c r="F64" i="9"/>
</calcChain>
</file>

<file path=xl/sharedStrings.xml><?xml version="1.0" encoding="utf-8"?>
<sst xmlns="http://schemas.openxmlformats.org/spreadsheetml/2006/main" count="734" uniqueCount="292">
  <si>
    <t>apikey_kraken</t>
  </si>
  <si>
    <t>GROUP_1</t>
  </si>
  <si>
    <t>unixtime</t>
  </si>
  <si>
    <t>rfc1123</t>
  </si>
  <si>
    <t>result</t>
  </si>
  <si>
    <t>secretkey_kraken</t>
  </si>
  <si>
    <t>GROUP_2</t>
  </si>
  <si>
    <t>GROUP_3</t>
  </si>
  <si>
    <t>time</t>
  </si>
  <si>
    <t>type</t>
  </si>
  <si>
    <t>asset</t>
  </si>
  <si>
    <t>amount</t>
  </si>
  <si>
    <t>fee</t>
  </si>
  <si>
    <t>balance</t>
  </si>
  <si>
    <t>NODE_LVL</t>
  </si>
  <si>
    <t>PARENT</t>
  </si>
  <si>
    <t>KEY</t>
  </si>
  <si>
    <t>VALUE</t>
  </si>
  <si>
    <t>TYPE</t>
  </si>
  <si>
    <t>MAIN</t>
  </si>
  <si>
    <t>error</t>
  </si>
  <si>
    <t>OBJ</t>
  </si>
  <si>
    <t>VAL</t>
  </si>
  <si>
    <t>Output after ResArr = JsonToArray(Json)</t>
  </si>
  <si>
    <t>Output after Tbl = ArrayTable(ResArr)</t>
  </si>
  <si>
    <t>your api key here</t>
  </si>
  <si>
    <t>your secret key here</t>
  </si>
  <si>
    <t>btc_eur</t>
  </si>
  <si>
    <t>high</t>
  </si>
  <si>
    <t>low</t>
  </si>
  <si>
    <t>avg</t>
  </si>
  <si>
    <t>vol</t>
  </si>
  <si>
    <t>vol_cur</t>
  </si>
  <si>
    <t>last</t>
  </si>
  <si>
    <t>buy</t>
  </si>
  <si>
    <t>sell</t>
  </si>
  <si>
    <t>updated</t>
  </si>
  <si>
    <t>eth_eur</t>
  </si>
  <si>
    <t>UnixtimeToDate</t>
  </si>
  <si>
    <t>return</t>
  </si>
  <si>
    <t>pair</t>
  </si>
  <si>
    <t>rate</t>
  </si>
  <si>
    <t>order_id</t>
  </si>
  <si>
    <t>is_your_order</t>
  </si>
  <si>
    <t>timestamp</t>
  </si>
  <si>
    <t>date</t>
  </si>
  <si>
    <t>BTCe trade history btc_eur</t>
  </si>
  <si>
    <t>apikey_bittrex</t>
  </si>
  <si>
    <t>secretkey_bittrex</t>
  </si>
  <si>
    <t>success</t>
  </si>
  <si>
    <t>message</t>
  </si>
  <si>
    <t>Bid</t>
  </si>
  <si>
    <t>Ask</t>
  </si>
  <si>
    <t>Last</t>
  </si>
  <si>
    <t>Currency</t>
  </si>
  <si>
    <t>BTC</t>
  </si>
  <si>
    <t>Balance</t>
  </si>
  <si>
    <t>Available</t>
  </si>
  <si>
    <t>Pending</t>
  </si>
  <si>
    <t>CryptoAddress</t>
  </si>
  <si>
    <t>Bittrex balances</t>
  </si>
  <si>
    <t>apikey_poloniex</t>
  </si>
  <si>
    <t>secretkey_poloniex</t>
  </si>
  <si>
    <t>apikey_liqui</t>
  </si>
  <si>
    <t>secretkey_liqui</t>
  </si>
  <si>
    <t>apikey_wexnz</t>
  </si>
  <si>
    <t>secretkey_wexnz</t>
  </si>
  <si>
    <t>apikey_coinone</t>
  </si>
  <si>
    <t>secretkey_coinone</t>
  </si>
  <si>
    <t>Work in progress</t>
  </si>
  <si>
    <t>Code untested, copy-pasted from BTCe</t>
  </si>
  <si>
    <t>apikey_cryptopia</t>
  </si>
  <si>
    <t>secretkey_cryptopia</t>
  </si>
  <si>
    <t>apikey_binance</t>
  </si>
  <si>
    <t>secretkey_binance</t>
  </si>
  <si>
    <t>serverTime</t>
  </si>
  <si>
    <t>Test: your timestamp</t>
  </si>
  <si>
    <t>Delta</t>
  </si>
  <si>
    <t>balances</t>
  </si>
  <si>
    <t>free</t>
  </si>
  <si>
    <t>locked</t>
  </si>
  <si>
    <t>LTC</t>
  </si>
  <si>
    <t>ETH</t>
  </si>
  <si>
    <t>Your Timestamp</t>
  </si>
  <si>
    <t>Binance balances</t>
  </si>
  <si>
    <t>asks</t>
  </si>
  <si>
    <t>bids</t>
  </si>
  <si>
    <t>isFrozen</t>
  </si>
  <si>
    <t>seq</t>
  </si>
  <si>
    <t>VAL_1</t>
  </si>
  <si>
    <t>VAL_2</t>
  </si>
  <si>
    <t>Poloniex Trade history</t>
  </si>
  <si>
    <t>BTC_ETH</t>
  </si>
  <si>
    <t>exchange</t>
  </si>
  <si>
    <t>globalTradeID</t>
  </si>
  <si>
    <t>tradeID</t>
  </si>
  <si>
    <t>total</t>
  </si>
  <si>
    <t>orderNumber</t>
  </si>
  <si>
    <t>category</t>
  </si>
  <si>
    <t>Success</t>
  </si>
  <si>
    <t>Message</t>
  </si>
  <si>
    <t>Data</t>
  </si>
  <si>
    <t>TradePairId</t>
  </si>
  <si>
    <t>Label</t>
  </si>
  <si>
    <t>DOT/BTC</t>
  </si>
  <si>
    <t>AskPrice</t>
  </si>
  <si>
    <t>BidPrice</t>
  </si>
  <si>
    <t>Low</t>
  </si>
  <si>
    <t>High</t>
  </si>
  <si>
    <t>Volume</t>
  </si>
  <si>
    <t>LastPrice</t>
  </si>
  <si>
    <t>BuyVolume</t>
  </si>
  <si>
    <t>SellVolume</t>
  </si>
  <si>
    <t>Change</t>
  </si>
  <si>
    <t>Open</t>
  </si>
  <si>
    <t>Close</t>
  </si>
  <si>
    <t>BaseVolume</t>
  </si>
  <si>
    <t>BuyBaseVolume</t>
  </si>
  <si>
    <t>SellBaseVolume</t>
  </si>
  <si>
    <t>Error</t>
  </si>
  <si>
    <t>CurrencyId</t>
  </si>
  <si>
    <t>Symbol</t>
  </si>
  <si>
    <t>Total</t>
  </si>
  <si>
    <t>Unconfirmed</t>
  </si>
  <si>
    <t>HeldForTrades</t>
  </si>
  <si>
    <t>PendingWithdraw</t>
  </si>
  <si>
    <t>Address</t>
  </si>
  <si>
    <t>Status</t>
  </si>
  <si>
    <t>StatusMessage</t>
  </si>
  <si>
    <t>BaseAddress</t>
  </si>
  <si>
    <t>Cryptopia GetBalances</t>
  </si>
  <si>
    <t>No balance found</t>
  </si>
  <si>
    <t>eth_btc</t>
  </si>
  <si>
    <t>san_btc</t>
  </si>
  <si>
    <t>btc</t>
  </si>
  <si>
    <t>ltc</t>
  </si>
  <si>
    <t>steem</t>
  </si>
  <si>
    <t>sbd</t>
  </si>
  <si>
    <t>dash</t>
  </si>
  <si>
    <t>ans</t>
  </si>
  <si>
    <t>dct</t>
  </si>
  <si>
    <t>icn</t>
  </si>
  <si>
    <t>eth</t>
  </si>
  <si>
    <t>xzc</t>
  </si>
  <si>
    <t>xxx</t>
  </si>
  <si>
    <t>golos</t>
  </si>
  <si>
    <t>gbg</t>
  </si>
  <si>
    <t>gnt</t>
  </si>
  <si>
    <t>wings</t>
  </si>
  <si>
    <t>plu</t>
  </si>
  <si>
    <t>round</t>
  </si>
  <si>
    <t>vsl</t>
  </si>
  <si>
    <t>VAL_1st</t>
  </si>
  <si>
    <t>waves</t>
  </si>
  <si>
    <t>incnt</t>
  </si>
  <si>
    <t>mln</t>
  </si>
  <si>
    <t>usdt</t>
  </si>
  <si>
    <t>rep</t>
  </si>
  <si>
    <t>edg</t>
  </si>
  <si>
    <t>rlc</t>
  </si>
  <si>
    <t>trst</t>
  </si>
  <si>
    <t>gno</t>
  </si>
  <si>
    <t>gup</t>
  </si>
  <si>
    <t>taas</t>
  </si>
  <si>
    <t>lun</t>
  </si>
  <si>
    <t>tkn</t>
  </si>
  <si>
    <t>hmq</t>
  </si>
  <si>
    <t>bcap</t>
  </si>
  <si>
    <t>ant</t>
  </si>
  <si>
    <t>bat</t>
  </si>
  <si>
    <t>qrl</t>
  </si>
  <si>
    <t>bnt</t>
  </si>
  <si>
    <t>mgo</t>
  </si>
  <si>
    <t>myst</t>
  </si>
  <si>
    <t>sngls</t>
  </si>
  <si>
    <t>ptoy</t>
  </si>
  <si>
    <t>cfi</t>
  </si>
  <si>
    <t>snm</t>
  </si>
  <si>
    <t>snt</t>
  </si>
  <si>
    <t>mco</t>
  </si>
  <si>
    <t>storj</t>
  </si>
  <si>
    <t>adx</t>
  </si>
  <si>
    <t>eos</t>
  </si>
  <si>
    <t>pay</t>
  </si>
  <si>
    <t>xid</t>
  </si>
  <si>
    <t>omg</t>
  </si>
  <si>
    <t>san</t>
  </si>
  <si>
    <t>qtum</t>
  </si>
  <si>
    <t>cvc</t>
  </si>
  <si>
    <t>net</t>
  </si>
  <si>
    <t>dgd</t>
  </si>
  <si>
    <t>oax</t>
  </si>
  <si>
    <t>bcc</t>
  </si>
  <si>
    <t>dnt</t>
  </si>
  <si>
    <t>stx</t>
  </si>
  <si>
    <t>zrx</t>
  </si>
  <si>
    <t>tnt</t>
  </si>
  <si>
    <t>ae</t>
  </si>
  <si>
    <t>ven</t>
  </si>
  <si>
    <t>bmc</t>
  </si>
  <si>
    <t>mana</t>
  </si>
  <si>
    <t>pro</t>
  </si>
  <si>
    <t>knc</t>
  </si>
  <si>
    <t>salt</t>
  </si>
  <si>
    <t>ind</t>
  </si>
  <si>
    <t>trx</t>
  </si>
  <si>
    <t>eng</t>
  </si>
  <si>
    <t>ast</t>
  </si>
  <si>
    <t>req</t>
  </si>
  <si>
    <t>neu</t>
  </si>
  <si>
    <t>srn</t>
  </si>
  <si>
    <t>info</t>
  </si>
  <si>
    <t>trade</t>
  </si>
  <si>
    <t>withdraw</t>
  </si>
  <si>
    <t>funds</t>
  </si>
  <si>
    <t>rights</t>
  </si>
  <si>
    <t>Liqui GetInfo</t>
  </si>
  <si>
    <t>apikey_kucoin</t>
  </si>
  <si>
    <t>secretkey_kucoin</t>
  </si>
  <si>
    <t>C_LAST_PRICE</t>
  </si>
  <si>
    <t>The module ModSrcCryptocompare has 4 functions that can be used to pull in data from the cryptocompare API.</t>
  </si>
  <si>
    <t>For details, check the code and/or https://min-api.cryptocompare.com/</t>
  </si>
  <si>
    <t>C_HIST_PRICE</t>
  </si>
  <si>
    <t>C_DAY_AVG_PRICE</t>
  </si>
  <si>
    <t>C_ARR_OHLCV</t>
  </si>
  <si>
    <t>Returns one value, showing the last price of a currency pair.</t>
  </si>
  <si>
    <r>
      <t xml:space="preserve">Feedback is welcome on my github, create an issue there: </t>
    </r>
    <r>
      <rPr>
        <b/>
        <sz val="11"/>
        <color theme="1"/>
        <rFont val="Calibri"/>
        <family val="2"/>
        <scheme val="minor"/>
      </rPr>
      <t>https://github.com/krijnsent/crypto_vba</t>
    </r>
  </si>
  <si>
    <r>
      <rPr>
        <b/>
        <sz val="11"/>
        <color rgb="FFFF0000"/>
        <rFont val="Calibri"/>
        <family val="2"/>
        <scheme val="minor"/>
      </rPr>
      <t xml:space="preserve">WARNING: </t>
    </r>
    <r>
      <rPr>
        <sz val="11"/>
        <color theme="1"/>
        <rFont val="Calibri"/>
        <family val="2"/>
        <scheme val="minor"/>
      </rPr>
      <t>the functions are in test stage and all call the API. If you use over 10 in one workbook and recalculate, the workbook might become slow and</t>
    </r>
    <r>
      <rPr>
        <b/>
        <sz val="11"/>
        <color rgb="FFFF0000"/>
        <rFont val="Calibri"/>
        <family val="2"/>
        <scheme val="minor"/>
      </rPr>
      <t xml:space="preserve"> CRASH.</t>
    </r>
  </si>
  <si>
    <t>Elements in the function:</t>
  </si>
  <si>
    <r>
      <t xml:space="preserve">CurrBuy </t>
    </r>
    <r>
      <rPr>
        <sz val="11"/>
        <color theme="1"/>
        <rFont val="Calibri"/>
        <family val="2"/>
        <scheme val="minor"/>
      </rPr>
      <t>- the currency you want to buy, e.g. BTC, ETH, LTC</t>
    </r>
  </si>
  <si>
    <r>
      <t xml:space="preserve">CurrSell </t>
    </r>
    <r>
      <rPr>
        <sz val="11"/>
        <color theme="1"/>
        <rFont val="Calibri"/>
        <family val="2"/>
        <scheme val="minor"/>
      </rPr>
      <t>- the currency you want to sell, e.g. USD, EUR, ETH</t>
    </r>
  </si>
  <si>
    <r>
      <t xml:space="preserve">Exchange (optional) </t>
    </r>
    <r>
      <rPr>
        <sz val="11"/>
        <color theme="1"/>
        <rFont val="Calibri"/>
        <family val="2"/>
        <scheme val="minor"/>
      </rPr>
      <t>- cryptocompare will normally give back an aggregate, but you could specify an exchange, e.g. Kraken, Coinbase, Poloniex</t>
    </r>
  </si>
  <si>
    <t>ETH/EUR</t>
  </si>
  <si>
    <t>Examples:</t>
  </si>
  <si>
    <t>XLM/BTC Kraken</t>
  </si>
  <si>
    <t>BTC/XLM Kraken</t>
  </si>
  <si>
    <t>XMR/EUR 1-1-2018</t>
  </si>
  <si>
    <r>
      <t xml:space="preserve">DatesRates </t>
    </r>
    <r>
      <rPr>
        <sz val="11"/>
        <color theme="1"/>
        <rFont val="Calibri"/>
        <family val="2"/>
        <scheme val="minor"/>
      </rPr>
      <t>- the date of the rates (all in GMT, time is not used)</t>
    </r>
  </si>
  <si>
    <t>XLM/BTC 1-1-2018 Poloniex</t>
  </si>
  <si>
    <t>Returns one value, showing the last price of a currency pair on a certain date (close price)</t>
  </si>
  <si>
    <t>Returns one value, showing the average price (vwap - volum weighted average price) of a currency pair on a certain date</t>
  </si>
  <si>
    <t>DOGE/BTC 1-7-2017 HitBTC</t>
  </si>
  <si>
    <t>XMR/EUR 1-7-2017</t>
  </si>
  <si>
    <t>Returns a range of values with hourly or daily data: time/date, value (Open, High, Low, Close) and volume</t>
  </si>
  <si>
    <t>https://www.ablebits.com/office-addins-blog/2015/02/25/array-formulas-functions-excel/#single-cell-multicell-formulas</t>
  </si>
  <si>
    <r>
      <t xml:space="preserve">ReturnColumns </t>
    </r>
    <r>
      <rPr>
        <sz val="11"/>
        <color theme="1"/>
        <rFont val="Calibri"/>
        <family val="2"/>
        <scheme val="minor"/>
      </rPr>
      <t>- the columns you want back, e.g. TECV or ECHL.</t>
    </r>
  </si>
  <si>
    <t xml:space="preserve">            options TEOHLCFV:  'T = timestamp (unixtime)    E = normal excel date/time      O = open price      H = high price      L = Low price     C = close price     F = volume From    V = volume to</t>
  </si>
  <si>
    <r>
      <t>NrLines (optional)</t>
    </r>
    <r>
      <rPr>
        <sz val="11"/>
        <color theme="1"/>
        <rFont val="Calibri"/>
        <family val="2"/>
        <scheme val="minor"/>
      </rPr>
      <t xml:space="preserve"> - how many hours/days you want to get back (maximum 2000, default 168 for hours and 30 for days)</t>
    </r>
  </si>
  <si>
    <r>
      <t xml:space="preserve">MaxTimeDate (optional) - </t>
    </r>
    <r>
      <rPr>
        <sz val="11"/>
        <color theme="1"/>
        <rFont val="Calibri"/>
        <family val="2"/>
        <scheme val="minor"/>
      </rPr>
      <t>the last time/date in your dataset</t>
    </r>
  </si>
  <si>
    <r>
      <t xml:space="preserve">Note: this is an </t>
    </r>
    <r>
      <rPr>
        <b/>
        <sz val="11"/>
        <color theme="1"/>
        <rFont val="Calibri"/>
        <family val="2"/>
        <scheme val="minor"/>
      </rPr>
      <t>ARRAY FUNCTION</t>
    </r>
    <r>
      <rPr>
        <sz val="11"/>
        <color theme="1"/>
        <rFont val="Calibri"/>
        <family val="2"/>
        <scheme val="minor"/>
      </rPr>
      <t>, check out e.g. this site to see how to make &amp; use them (</t>
    </r>
    <r>
      <rPr>
        <b/>
        <sz val="11"/>
        <color theme="1"/>
        <rFont val="Calibri"/>
        <family val="2"/>
        <scheme val="minor"/>
      </rPr>
      <t>CTRL+SHIFT+ENTER</t>
    </r>
    <r>
      <rPr>
        <sz val="11"/>
        <color theme="1"/>
        <rFont val="Calibri"/>
        <family val="2"/>
        <scheme val="minor"/>
      </rPr>
      <t xml:space="preserve"> is key)</t>
    </r>
  </si>
  <si>
    <t>Daily ETH/BTC prices</t>
  </si>
  <si>
    <t>Hourly XLM/BTC prices</t>
  </si>
  <si>
    <t>code</t>
  </si>
  <si>
    <t>OK</t>
  </si>
  <si>
    <t>msg</t>
  </si>
  <si>
    <t>Operation succeeded.</t>
  </si>
  <si>
    <t>data</t>
  </si>
  <si>
    <t>coinType</t>
  </si>
  <si>
    <t>KCS</t>
  </si>
  <si>
    <t>trading</t>
  </si>
  <si>
    <t>symbol</t>
  </si>
  <si>
    <t>KCS-BTC</t>
  </si>
  <si>
    <t>lastDealPrice</t>
  </si>
  <si>
    <t>change</t>
  </si>
  <si>
    <t>coinTypePair</t>
  </si>
  <si>
    <t>sort</t>
  </si>
  <si>
    <t>feeRate</t>
  </si>
  <si>
    <t>volValue</t>
  </si>
  <si>
    <t>datetime</t>
  </si>
  <si>
    <t>changeRate</t>
  </si>
  <si>
    <t>Kucoin Balance</t>
  </si>
  <si>
    <t>balanceStr</t>
  </si>
  <si>
    <t>freezeBalance</t>
  </si>
  <si>
    <t>freezeBalanceStr</t>
  </si>
  <si>
    <t>datas</t>
  </si>
  <si>
    <t>ZEUR</t>
  </si>
  <si>
    <t>KFEE</t>
  </si>
  <si>
    <t>XXBT</t>
  </si>
  <si>
    <t>Kraken balances</t>
  </si>
  <si>
    <t>Thu,  1 Feb 18 12:15:35 +0000</t>
  </si>
  <si>
    <t>TEST STAGE FUNCTIONS</t>
  </si>
  <si>
    <t>TEL</t>
  </si>
  <si>
    <t>TFL</t>
  </si>
  <si>
    <t>RESULTS</t>
  </si>
  <si>
    <t>close</t>
  </si>
  <si>
    <t>volumeto</t>
  </si>
  <si>
    <t>ECVF</t>
  </si>
  <si>
    <t>volumefrom</t>
  </si>
  <si>
    <r>
      <t xml:space="preserve">DayHourMin </t>
    </r>
    <r>
      <rPr>
        <sz val="11"/>
        <color theme="1"/>
        <rFont val="Calibri"/>
        <family val="2"/>
        <scheme val="minor"/>
      </rPr>
      <t>- D for daily, H for hourly, M for minute (only 1 week of data available). To aggregate, use e.g. 10m, 4h or 7d.</t>
    </r>
  </si>
  <si>
    <t>Kraken, last 96 hours of 2017</t>
  </si>
  <si>
    <t>aggregated per 2 hours</t>
  </si>
  <si>
    <t>2D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</si>
</sst>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_(* #,##0.00000_);_(* \(#,##0.00000\);_(* &quot;-&quot;??_);_(@_)"/>
    <numFmt numFmtId="166" formatCode="_(* #,##0.0000000_);_(* \(#,##0.0000000\);_(* &quot;-&quot;??_);_(@_)"/>
    <numFmt numFmtId="167" formatCode="d/mm/yy\ h:mm;@"/>
    <numFmt numFmtId="168" formatCode="_(* #,##0_);_(* \(#,##0\);_(* &quot;-&quot;??_);_(@_)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60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" xfId="0" applyFont="1" applyBorder="1"/>
    <xf numFmtId="0" fontId="0" fillId="0" borderId="2" xfId="0" applyFont="1" applyBorder="1"/>
    <xf numFmtId="0" fontId="0" fillId="0" borderId="3" xfId="0" applyFont="1" applyBorder="1"/>
    <xf numFmtId="0" fontId="0" fillId="0" borderId="4" xfId="0" applyFont="1" applyBorder="1"/>
    <xf numFmtId="0" fontId="0" fillId="0" borderId="5" xfId="0" applyFont="1" applyBorder="1"/>
    <xf numFmtId="0" fontId="0" fillId="0" borderId="6" xfId="0" applyFont="1" applyBorder="1"/>
    <xf numFmtId="0" fontId="0" fillId="0" borderId="0" xfId="0" applyFont="1" applyBorder="1"/>
    <xf numFmtId="0" fontId="0" fillId="0" borderId="7" xfId="0" applyFont="1" applyBorder="1"/>
    <xf numFmtId="0" fontId="0" fillId="0" borderId="8" xfId="0" applyFont="1" applyBorder="1"/>
    <xf numFmtId="0" fontId="1" fillId="3" borderId="0" xfId="0" quotePrefix="1" applyFont="1" applyFill="1"/>
    <xf numFmtId="0" fontId="0" fillId="3" borderId="0" xfId="0" applyFill="1"/>
    <xf numFmtId="15" fontId="0" fillId="0" borderId="0" xfId="0" applyNumberFormat="1"/>
    <xf numFmtId="0" fontId="0" fillId="0" borderId="8" xfId="0" applyBorder="1"/>
    <xf numFmtId="0" fontId="0" fillId="0" borderId="0" xfId="0" applyBorder="1"/>
    <xf numFmtId="0" fontId="0" fillId="0" borderId="7" xfId="0" applyBorder="1"/>
    <xf numFmtId="164" fontId="0" fillId="0" borderId="0" xfId="1" applyFont="1"/>
    <xf numFmtId="164" fontId="0" fillId="0" borderId="0" xfId="1" applyFont="1" applyBorder="1"/>
    <xf numFmtId="164" fontId="0" fillId="0" borderId="5" xfId="1" applyFont="1" applyBorder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0" fillId="0" borderId="7" xfId="1" applyNumberFormat="1" applyFont="1" applyBorder="1"/>
    <xf numFmtId="0" fontId="0" fillId="0" borderId="6" xfId="1" applyNumberFormat="1" applyFont="1" applyBorder="1"/>
    <xf numFmtId="0" fontId="1" fillId="0" borderId="9" xfId="0" applyFont="1" applyFill="1" applyBorder="1"/>
    <xf numFmtId="15" fontId="0" fillId="0" borderId="10" xfId="0" applyNumberFormat="1" applyBorder="1"/>
    <xf numFmtId="15" fontId="0" fillId="0" borderId="11" xfId="0" applyNumberFormat="1" applyBorder="1"/>
    <xf numFmtId="0" fontId="0" fillId="0" borderId="0" xfId="0" quotePrefix="1"/>
    <xf numFmtId="0" fontId="1" fillId="0" borderId="0" xfId="0" quotePrefix="1" applyFont="1"/>
    <xf numFmtId="1" fontId="0" fillId="0" borderId="4" xfId="0" applyNumberFormat="1" applyBorder="1"/>
    <xf numFmtId="0" fontId="0" fillId="0" borderId="9" xfId="0" applyBorder="1"/>
    <xf numFmtId="1" fontId="0" fillId="0" borderId="11" xfId="0" applyNumberFormat="1" applyBorder="1"/>
    <xf numFmtId="1" fontId="0" fillId="0" borderId="6" xfId="0" applyNumberFormat="1" applyBorder="1"/>
    <xf numFmtId="1" fontId="0" fillId="0" borderId="5" xfId="0" applyNumberFormat="1" applyFont="1" applyBorder="1"/>
    <xf numFmtId="165" fontId="0" fillId="0" borderId="0" xfId="1" applyNumberFormat="1" applyFont="1" applyBorder="1"/>
    <xf numFmtId="165" fontId="0" fillId="0" borderId="7" xfId="1" applyNumberFormat="1" applyFont="1" applyBorder="1"/>
    <xf numFmtId="165" fontId="0" fillId="0" borderId="5" xfId="1" applyNumberFormat="1" applyFont="1" applyBorder="1"/>
    <xf numFmtId="165" fontId="0" fillId="0" borderId="6" xfId="1" applyNumberFormat="1" applyFont="1" applyBorder="1"/>
    <xf numFmtId="22" fontId="0" fillId="0" borderId="0" xfId="0" applyNumberFormat="1"/>
    <xf numFmtId="0" fontId="3" fillId="0" borderId="0" xfId="0" applyFont="1"/>
    <xf numFmtId="0" fontId="4" fillId="0" borderId="0" xfId="0" applyFont="1"/>
    <xf numFmtId="0" fontId="0" fillId="0" borderId="0" xfId="0" applyFont="1" applyAlignment="1"/>
    <xf numFmtId="0" fontId="0" fillId="4" borderId="0" xfId="0" applyFill="1"/>
    <xf numFmtId="166" fontId="0" fillId="4" borderId="0" xfId="1" applyNumberFormat="1" applyFont="1" applyFill="1"/>
    <xf numFmtId="0" fontId="1" fillId="4" borderId="0" xfId="0" applyFont="1" applyFill="1"/>
    <xf numFmtId="15" fontId="0" fillId="4" borderId="0" xfId="1" applyNumberFormat="1" applyFont="1" applyFill="1"/>
    <xf numFmtId="0" fontId="0" fillId="4" borderId="0" xfId="0" applyFont="1" applyFill="1"/>
    <xf numFmtId="167" fontId="0" fillId="4" borderId="0" xfId="0" applyNumberFormat="1" applyFill="1"/>
    <xf numFmtId="168" fontId="0" fillId="4" borderId="0" xfId="1" applyNumberFormat="1" applyFont="1" applyFill="1"/>
    <xf numFmtId="14" fontId="0" fillId="0" borderId="0" xfId="0" applyNumberFormat="1"/>
    <xf numFmtId="0" fontId="0" fillId="2" borderId="0" xfId="0" applyFill="1"/>
    <xf numFmtId="14" fontId="0" fillId="2" borderId="0" xfId="0" applyNumberFormat="1" applyFill="1"/>
  </cellXfs>
  <cellStyles count="2">
    <cellStyle name="Komma" xfId="1" builtinId="3"/>
    <cellStyle name="Standaard" xfId="0" builtinId="0"/>
  </cellStyles>
  <dxfs count="2">
    <dxf>
      <numFmt numFmtId="169" formatCode="d\-mmm\-yy"/>
    </dxf>
    <dxf>
      <numFmt numFmtId="170" formatCode="m/d/yyyy\ 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350520</xdr:colOff>
          <xdr:row>9</xdr:row>
          <xdr:rowOff>76200</xdr:rowOff>
        </xdr:from>
        <xdr:to>
          <xdr:col>12</xdr:col>
          <xdr:colOff>7620</xdr:colOff>
          <xdr:row>11</xdr:row>
          <xdr:rowOff>76200</xdr:rowOff>
        </xdr:to>
        <xdr:sp macro="" textlink="">
          <xdr:nvSpPr>
            <xdr:cNvPr id="1025" name="CmdGetDat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bl_Kraken_Balances" displayName="Tbl_Kraken_Balances" ref="B20:C23" totalsRowShown="0">
  <autoFilter ref="B20:C23" xr:uid="{00000000-0009-0000-0100-000004000000}"/>
  <tableColumns count="2">
    <tableColumn id="1" xr3:uid="{00000000-0010-0000-0000-000001000000}" name="GROUP_1"/>
    <tableColumn id="2" xr3:uid="{00000000-0010-0000-0000-000002000000}" name="resul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_Bittrex_Ledgers" displayName="Tbl_Bittrex_Ledgers" ref="B22:H23" insertRow="1" totalsRowShown="0">
  <autoFilter ref="B22:H23" xr:uid="{00000000-0009-0000-0100-000002000000}"/>
  <tableColumns count="7">
    <tableColumn id="1" xr3:uid="{00000000-0010-0000-0100-000001000000}" name="GROUP_1"/>
    <tableColumn id="2" xr3:uid="{00000000-0010-0000-0100-000002000000}" name="GROUP_2"/>
    <tableColumn id="3" xr3:uid="{00000000-0010-0000-0100-000003000000}" name="Currency"/>
    <tableColumn id="4" xr3:uid="{00000000-0010-0000-0100-000004000000}" name="Balance"/>
    <tableColumn id="5" xr3:uid="{00000000-0010-0000-0100-000005000000}" name="Available"/>
    <tableColumn id="6" xr3:uid="{00000000-0010-0000-0100-000006000000}" name="Pending"/>
    <tableColumn id="7" xr3:uid="{00000000-0010-0000-0100-000007000000}" name="CryptoAddres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F9A3AC0-82B5-45C9-B542-5981F1CA61F8}" name="Tbl_Binance_Balances" displayName="Tbl_Binance_Balances" ref="B17:F20" totalsRowShown="0">
  <autoFilter ref="B17:F20" xr:uid="{2785BCC6-62DE-40D7-BF15-0BEDCD40E032}"/>
  <tableColumns count="5">
    <tableColumn id="1" xr3:uid="{465F583A-080E-4F5D-963A-2294DBC63900}" name="GROUP_1"/>
    <tableColumn id="2" xr3:uid="{B0F9BDA7-D829-45FB-87D1-3B53F9BE7F5E}" name="GROUP_2"/>
    <tableColumn id="3" xr3:uid="{E8AADA28-7D3F-4A87-B33E-FF273766C715}" name="asset"/>
    <tableColumn id="4" xr3:uid="{9559B84C-9B25-47F7-B0C8-62DA5F830546}" name="free"/>
    <tableColumn id="5" xr3:uid="{1DB314E5-4358-4E65-AED0-EE1287F5AD16}" name="locked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AAF485D-275D-4109-BB00-C401172D29B8}" name="Tbl_Poloniex_Trades" displayName="Tbl_Poloniex_Trades" ref="B26:M27" totalsRowShown="0">
  <autoFilter ref="B26:M27" xr:uid="{E336202C-1C2A-46FB-85CA-715A856B6677}"/>
  <tableColumns count="12">
    <tableColumn id="1" xr3:uid="{0B6EDB8A-7D91-4EA8-BD82-727D7E7C0AC7}" name="GROUP_1"/>
    <tableColumn id="2" xr3:uid="{4271C55D-7354-4697-BD92-A69F3B5AE0CF}" name="GROUP_2"/>
    <tableColumn id="3" xr3:uid="{0C227914-1F90-4AEC-9978-54E647017CBA}" name="globalTradeID"/>
    <tableColumn id="4" xr3:uid="{597DCA06-ED82-4562-89B1-4363361B07BE}" name="tradeID"/>
    <tableColumn id="5" xr3:uid="{05E1AC16-456B-441E-BF09-BE7AAAB516D5}" name="date" dataDxfId="1"/>
    <tableColumn id="6" xr3:uid="{3C171AF8-C405-41EC-B2EA-81F48B46FC1C}" name="rate"/>
    <tableColumn id="7" xr3:uid="{3669B328-137A-4F0D-9762-B0F37D4BD384}" name="amount"/>
    <tableColumn id="8" xr3:uid="{BC1F7B97-6369-4EF6-B3E4-4AE0CCC9F7EC}" name="total"/>
    <tableColumn id="9" xr3:uid="{CA85AAFE-84AA-4309-A925-AF472BC19F10}" name="fee"/>
    <tableColumn id="10" xr3:uid="{3DB7E862-22B1-4B47-9F25-055024BCC513}" name="orderNumber"/>
    <tableColumn id="11" xr3:uid="{3D3F0E42-031D-46E9-8047-294C764F20CB}" name="type"/>
    <tableColumn id="12" xr3:uid="{69137CBE-7F99-4816-A6B3-DD2926A47B91}" name="category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bl_WEXnz_Trades" displayName="Tbl_WEXnz_Trades" ref="B36:K38" totalsRowShown="0">
  <autoFilter ref="B36:K38" xr:uid="{00000000-0009-0000-0100-000001000000}"/>
  <tableColumns count="10">
    <tableColumn id="1" xr3:uid="{00000000-0010-0000-0200-000001000000}" name="GROUP_1"/>
    <tableColumn id="2" xr3:uid="{00000000-0010-0000-0200-000002000000}" name="GROUP_2"/>
    <tableColumn id="3" xr3:uid="{00000000-0010-0000-0200-000003000000}" name="pair"/>
    <tableColumn id="4" xr3:uid="{00000000-0010-0000-0200-000004000000}" name="type"/>
    <tableColumn id="5" xr3:uid="{00000000-0010-0000-0200-000005000000}" name="amount"/>
    <tableColumn id="6" xr3:uid="{00000000-0010-0000-0200-000006000000}" name="rate"/>
    <tableColumn id="7" xr3:uid="{00000000-0010-0000-0200-000007000000}" name="order_id"/>
    <tableColumn id="8" xr3:uid="{00000000-0010-0000-0200-000008000000}" name="is_your_order"/>
    <tableColumn id="9" xr3:uid="{00000000-0010-0000-0200-000009000000}" name="timestamp"/>
    <tableColumn id="10" xr3:uid="{00000000-0010-0000-0200-00000A000000}" name="date" dataDxfId="0">
      <calculatedColumnFormula>UnixTimeToDate(Tbl_WEXnz_Trades[[#This Row],[timestamp]])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5FC189E-ADF1-4CFD-BEF2-2BDEEB6DA77B}" name="Tbl_Kucoin_Balance" displayName="Tbl_Kucoin_Balance" ref="B38:I41" totalsRowShown="0">
  <autoFilter ref="B38:I41" xr:uid="{499FC7EF-4481-441A-B448-E8ECA033E522}"/>
  <sortState ref="B39:I41">
    <sortCondition descending="1" ref="F38:F41"/>
  </sortState>
  <tableColumns count="8">
    <tableColumn id="1" xr3:uid="{821C4B86-7A18-4200-9635-C70A11AA86B9}" name="GROUP_1"/>
    <tableColumn id="2" xr3:uid="{3EBF8B67-2371-4F49-8A2E-09E9E7A42273}" name="GROUP_2"/>
    <tableColumn id="3" xr3:uid="{00F56DEC-A088-4CE9-AD3F-83B6545F0E8F}" name="GROUP_3"/>
    <tableColumn id="4" xr3:uid="{A2D2AA82-C864-4944-B96B-D81CCDF0CF89}" name="coinType"/>
    <tableColumn id="5" xr3:uid="{F6A89A8A-9586-4A55-B3E6-C1BED44443AE}" name="balanceStr"/>
    <tableColumn id="6" xr3:uid="{EB857C90-66DE-4F55-A8B4-787322A53AC4}" name="freezeBalance"/>
    <tableColumn id="7" xr3:uid="{BEBFF244-F844-4234-9CFD-29065ECE44CA}" name="balance"/>
    <tableColumn id="8" xr3:uid="{2FB81F40-3BC8-4413-834F-45CF21FA9C2A}" name="freezeBalanceStr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B164DB-F820-4229-8633-66DB71BFCDD8}" name="Tbl_Cryptopia_Balances" displayName="Tbl_Cryptopia_Balances" ref="B35:N36" totalsRowShown="0">
  <autoFilter ref="B35:N36" xr:uid="{5157773C-AC59-408F-8B8C-3FDA6C9779BE}"/>
  <tableColumns count="13">
    <tableColumn id="1" xr3:uid="{FAFC14F5-AC30-4152-B9B1-B50CB2E12A50}" name="GROUP_1"/>
    <tableColumn id="2" xr3:uid="{DE0F9F67-D9E4-46C4-B797-8CEFAB8AB250}" name="GROUP_2"/>
    <tableColumn id="3" xr3:uid="{79222BB1-1E39-4073-8336-79D415E868DA}" name="CurrencyId"/>
    <tableColumn id="4" xr3:uid="{D5DDF77B-51D4-4137-BF0E-76A3760AE4CA}" name="Symbol"/>
    <tableColumn id="5" xr3:uid="{D71C8948-BCC7-4BDA-8CFA-10F987159D28}" name="Total"/>
    <tableColumn id="6" xr3:uid="{C1B3CF4A-703E-4138-8167-A669BC6BB7CF}" name="Available"/>
    <tableColumn id="7" xr3:uid="{F6167AD4-7EB3-41F9-A646-92211068C210}" name="Unconfirmed"/>
    <tableColumn id="8" xr3:uid="{5456A6AD-D6DA-42D1-8F64-DBE390FD0B15}" name="HeldForTrades"/>
    <tableColumn id="9" xr3:uid="{6A4E5C82-8E03-4A2A-AF0B-A814CA861A92}" name="PendingWithdraw"/>
    <tableColumn id="10" xr3:uid="{8C5DFCA0-949B-48EF-AE60-D98EC3EBCFBB}" name="Address"/>
    <tableColumn id="11" xr3:uid="{EE1E1B23-7BC8-467A-AC68-8DA064DE1DD5}" name="Status"/>
    <tableColumn id="12" xr3:uid="{FEF70E82-692F-40CD-9D94-9F8A23AAA9E0}" name="StatusMessage"/>
    <tableColumn id="13" xr3:uid="{791B5EF5-B4BD-4507-97BA-05FB74E86574}" name="BaseAddress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6A17507-6432-4BF6-A045-1F93EAA2B4A0}" name="Tbl_Liqui_Info" displayName="Tbl_Liqui_Info" ref="B36:CF38" totalsRowShown="0">
  <autoFilter ref="B36:CF38" xr:uid="{72A1367B-53A6-4760-81D6-BD4735131134}"/>
  <tableColumns count="83">
    <tableColumn id="1" xr3:uid="{5D417EF7-9567-485D-9D24-A2940070B7B9}" name="GROUP_1"/>
    <tableColumn id="2" xr3:uid="{5A724281-EBEB-43A2-B8C0-240A56539901}" name="GROUP_2"/>
    <tableColumn id="3" xr3:uid="{4DBDC0B3-A5E3-4C51-9CDA-E77F745865D5}" name="btc"/>
    <tableColumn id="4" xr3:uid="{DCA94E8D-02EC-483E-88B6-160F62C71087}" name="ltc"/>
    <tableColumn id="5" xr3:uid="{8C1D444A-3CF2-4E4C-BB6B-3320946C3B23}" name="steem"/>
    <tableColumn id="6" xr3:uid="{7008A1D4-9C51-4E2E-A71A-A2B2DE1D28F4}" name="sbd"/>
    <tableColumn id="7" xr3:uid="{57D38A4F-86A7-48F4-BD95-1EFBD454BD46}" name="dash"/>
    <tableColumn id="8" xr3:uid="{E0443609-CE70-4007-867E-54090AB218DD}" name="ans"/>
    <tableColumn id="9" xr3:uid="{24E09DD8-C375-4580-ABB2-FCE5C5D78F13}" name="dct"/>
    <tableColumn id="10" xr3:uid="{AAD65C66-D04C-426C-92BF-11F0A5DEACDF}" name="icn"/>
    <tableColumn id="11" xr3:uid="{67E63427-68D2-449E-A677-50973F9E5890}" name="eth"/>
    <tableColumn id="12" xr3:uid="{09F1C5BB-EF12-406F-8FA3-9A2A0D34F784}" name="xzc"/>
    <tableColumn id="13" xr3:uid="{F46A0CB7-457F-4024-AC72-6EC778FE8AA8}" name="xxx"/>
    <tableColumn id="14" xr3:uid="{8A5E231C-F38C-465B-992F-456EF17C8A02}" name="golos"/>
    <tableColumn id="15" xr3:uid="{8C515E94-0F00-44D9-A6D5-7AF8AF8933D7}" name="gbg"/>
    <tableColumn id="16" xr3:uid="{BB7A4F07-3F03-4427-B52A-D28A765D7735}" name="gnt"/>
    <tableColumn id="17" xr3:uid="{AFD95511-8C67-452D-8668-809A0C096D74}" name="wings"/>
    <tableColumn id="18" xr3:uid="{38A10241-E55D-43E9-ACFA-0DDF72CBEEA7}" name="plu"/>
    <tableColumn id="19" xr3:uid="{93B0A2C1-9CC5-418C-A58D-CFF1600028E2}" name="round"/>
    <tableColumn id="20" xr3:uid="{B5D4B2F4-AE07-4DB2-ADF7-7616FEA12EC4}" name="vsl"/>
    <tableColumn id="21" xr3:uid="{3AFA6926-01D2-4784-9A04-6071C65928CF}" name="VAL_1st"/>
    <tableColumn id="22" xr3:uid="{27E884F3-F074-4C3E-A5DD-D2C2865337D3}" name="waves"/>
    <tableColumn id="23" xr3:uid="{85135781-752A-4850-925A-EB0D336E6CAA}" name="incnt"/>
    <tableColumn id="24" xr3:uid="{61CCF53A-D4C8-42B2-831C-0D662C7AD8EC}" name="mln"/>
    <tableColumn id="25" xr3:uid="{253D70A9-1D53-4964-A6A8-55F62AB55982}" name="time"/>
    <tableColumn id="26" xr3:uid="{B5E2334F-E45E-44EB-800F-388646596139}" name="usdt"/>
    <tableColumn id="27" xr3:uid="{AB062FE4-E693-4542-92B6-EE84CAFE8F76}" name="rep"/>
    <tableColumn id="28" xr3:uid="{3294F0C1-D1EE-4E44-87F1-BAAD312EF415}" name="edg"/>
    <tableColumn id="29" xr3:uid="{79D38068-38D7-4B12-8318-86D6D1507D69}" name="rlc"/>
    <tableColumn id="30" xr3:uid="{AB8F8702-1F58-43EE-BF49-E6D0EE4CD101}" name="trst"/>
    <tableColumn id="31" xr3:uid="{9F5D87F8-182F-42B9-B706-6E91EE9CF435}" name="gno"/>
    <tableColumn id="32" xr3:uid="{B5720D41-561D-4051-B1A2-D5CF737783D4}" name="gup"/>
    <tableColumn id="33" xr3:uid="{A074CA80-2882-4362-B7E7-908C87B90E51}" name="taas"/>
    <tableColumn id="34" xr3:uid="{0F90CA75-7073-49A6-B932-CB8BE648EBD4}" name="lun"/>
    <tableColumn id="35" xr3:uid="{5A9EF7AD-BEDC-4FCF-8B58-FF51FF45BB69}" name="tkn"/>
    <tableColumn id="36" xr3:uid="{543D88DC-D076-4254-B722-7784E582B326}" name="hmq"/>
    <tableColumn id="37" xr3:uid="{BBA25FB6-FB0B-4792-8ED8-A4D0692BC090}" name="bcap"/>
    <tableColumn id="38" xr3:uid="{AA19D72A-CB96-40F0-987F-4D09A3EE26D2}" name="ant"/>
    <tableColumn id="39" xr3:uid="{4EF8592A-37A6-41B2-866E-2E211722102B}" name="bat"/>
    <tableColumn id="40" xr3:uid="{B0434EC3-22D4-4A23-821C-0D63D5CC906D}" name="qrl"/>
    <tableColumn id="41" xr3:uid="{CF0430A6-F95C-48DF-AB82-A32C1967AA4F}" name="bnt"/>
    <tableColumn id="42" xr3:uid="{F57F3C4A-EFD0-423E-A877-91BE6FFAFA25}" name="mgo"/>
    <tableColumn id="43" xr3:uid="{18CD3F50-D606-496B-820E-076AEA877C70}" name="myst"/>
    <tableColumn id="44" xr3:uid="{5D6AEEA3-9648-4E93-8F9C-5148C2C9E443}" name="sngls"/>
    <tableColumn id="45" xr3:uid="{C879CAF4-1458-49CB-9FE5-127A18184674}" name="ptoy"/>
    <tableColumn id="46" xr3:uid="{4D60615D-982B-4BB8-A9A6-7F528EC01296}" name="cfi"/>
    <tableColumn id="47" xr3:uid="{367C0419-985F-49F9-8748-BE8F0F38A11D}" name="snm"/>
    <tableColumn id="48" xr3:uid="{BC138EDE-4A7C-4A9C-AC6A-B5F280ECD982}" name="snt"/>
    <tableColumn id="49" xr3:uid="{8BCC8020-94B0-491D-987B-7763DA169B15}" name="mco"/>
    <tableColumn id="50" xr3:uid="{497C5369-E69F-4070-A58A-879E7BAEA388}" name="storj"/>
    <tableColumn id="51" xr3:uid="{282AAF34-6168-4525-AF7B-5E3832E7771F}" name="adx"/>
    <tableColumn id="52" xr3:uid="{0407293F-F2C9-486C-8714-ACB25F861B6E}" name="eos"/>
    <tableColumn id="53" xr3:uid="{7AD9EAE3-67BD-44F3-AC56-55C3E3B93A35}" name="pay"/>
    <tableColumn id="54" xr3:uid="{8C3AA084-83FD-403F-9C0A-042E76B00460}" name="xid"/>
    <tableColumn id="55" xr3:uid="{9BDDAF60-A852-4EAA-A21F-9BF6359BCFFC}" name="omg"/>
    <tableColumn id="56" xr3:uid="{31B25641-A601-4C19-9274-2F86A3C97BBD}" name="san"/>
    <tableColumn id="57" xr3:uid="{0D4100A4-20C0-4D15-BDFA-6F9871DF1F27}" name="qtum"/>
    <tableColumn id="58" xr3:uid="{C8453404-7E17-47D0-B977-77A35DBC5B3E}" name="cvc"/>
    <tableColumn id="59" xr3:uid="{883173C1-138A-45DD-906F-8D0A3C1BFE7E}" name="net"/>
    <tableColumn id="60" xr3:uid="{CA2CAFA9-B608-406E-8B44-B43C6A929459}" name="dgd"/>
    <tableColumn id="61" xr3:uid="{F6B69BA9-2B73-44A3-9980-17F5BFA2F99F}" name="oax"/>
    <tableColumn id="62" xr3:uid="{4F533309-4AE1-433F-AD39-863576533E65}" name="bcc"/>
    <tableColumn id="63" xr3:uid="{D7A9E06D-27E3-4D7A-8D13-F2BF9F4BC510}" name="dnt"/>
    <tableColumn id="64" xr3:uid="{D3C4BD10-3AEA-4C8E-B787-F490B1D23AF0}" name="stx"/>
    <tableColumn id="65" xr3:uid="{D3592895-1231-4AA2-AE90-9DAEF82CDB1A}" name="zrx"/>
    <tableColumn id="66" xr3:uid="{911461B5-690A-4568-B9BB-2798DF08D10C}" name="tnt"/>
    <tableColumn id="67" xr3:uid="{1039AB22-2D7B-4588-BE64-3B4126F79EBA}" name="ae"/>
    <tableColumn id="68" xr3:uid="{213D8F0E-D154-4B13-92F1-F5AE73E28F36}" name="ven"/>
    <tableColumn id="69" xr3:uid="{BF03BB97-C961-4244-AF59-987B95673E6D}" name="bmc"/>
    <tableColumn id="70" xr3:uid="{C88E1BC7-036F-4007-805F-82D7C65FE76D}" name="mana"/>
    <tableColumn id="71" xr3:uid="{84E583ED-0C4E-4209-A1C7-429A134D083F}" name="pro"/>
    <tableColumn id="72" xr3:uid="{6DD56A7D-2FA1-4C01-B96B-FD992E12DE58}" name="knc"/>
    <tableColumn id="73" xr3:uid="{AEC57B90-6491-46EC-BAB8-F3C24F49CDD4}" name="salt"/>
    <tableColumn id="74" xr3:uid="{43B3CAF4-D1E7-46E8-9B4A-9C36B53381D6}" name="ind"/>
    <tableColumn id="75" xr3:uid="{B1F667DD-3B54-4F00-918B-472D57150A63}" name="trx"/>
    <tableColumn id="76" xr3:uid="{BF7173BC-1F83-4180-BFAA-FEE204007F46}" name="eng"/>
    <tableColumn id="77" xr3:uid="{5F6088C2-F18F-419D-8229-A19390585BD1}" name="ast"/>
    <tableColumn id="78" xr3:uid="{0A29A3B7-2C6E-44EF-B099-732DEC13FBDA}" name="req"/>
    <tableColumn id="79" xr3:uid="{7E814CA1-08B7-43EB-84D1-A16B656B1AD7}" name="neu"/>
    <tableColumn id="80" xr3:uid="{D5BD052F-05D3-4A6B-9A6A-337D6C9B9CA3}" name="srn"/>
    <tableColumn id="81" xr3:uid="{93530686-22D3-408D-86CD-B936AD0E3ACC}" name="info"/>
    <tableColumn id="82" xr3:uid="{8CE415ED-FD37-4A96-A17F-CE43A8CF0ED3}" name="trade"/>
    <tableColumn id="83" xr3:uid="{117D8165-0FD9-47A8-BBE7-C794906DFA81}" name="withdraw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C17EF-6EC0-4A71-97F1-9CB05C8B841C}">
  <sheetPr codeName="Blad6"/>
  <dimension ref="B2:K120"/>
  <sheetViews>
    <sheetView tabSelected="1" workbookViewId="0">
      <selection activeCell="E109" sqref="E109"/>
    </sheetView>
  </sheetViews>
  <sheetFormatPr defaultRowHeight="14.4" x14ac:dyDescent="0.3"/>
  <cols>
    <col min="2" max="2" width="3" customWidth="1"/>
    <col min="3" max="3" width="25.6640625" customWidth="1"/>
    <col min="4" max="4" width="14.77734375" customWidth="1"/>
    <col min="5" max="5" width="13.44140625" bestFit="1" customWidth="1"/>
    <col min="6" max="6" width="15" customWidth="1"/>
    <col min="7" max="7" width="13.6640625" customWidth="1"/>
    <col min="8" max="8" width="18.77734375" customWidth="1"/>
    <col min="9" max="9" width="14.109375" customWidth="1"/>
    <col min="10" max="10" width="14.21875" customWidth="1"/>
    <col min="11" max="11" width="12.6640625" customWidth="1"/>
  </cols>
  <sheetData>
    <row r="2" spans="2:10" x14ac:dyDescent="0.3">
      <c r="B2" s="47" t="s">
        <v>280</v>
      </c>
    </row>
    <row r="3" spans="2:10" x14ac:dyDescent="0.3">
      <c r="B3" t="s">
        <v>220</v>
      </c>
    </row>
    <row r="4" spans="2:10" x14ac:dyDescent="0.3">
      <c r="B4" t="s">
        <v>221</v>
      </c>
    </row>
    <row r="5" spans="2:10" x14ac:dyDescent="0.3">
      <c r="B5" t="s">
        <v>227</v>
      </c>
    </row>
    <row r="6" spans="2:10" x14ac:dyDescent="0.3">
      <c r="B6" t="s">
        <v>226</v>
      </c>
    </row>
    <row r="8" spans="2:10" x14ac:dyDescent="0.3">
      <c r="B8" s="18" t="s">
        <v>219</v>
      </c>
      <c r="C8" s="19"/>
      <c r="D8" s="19"/>
      <c r="E8" s="19"/>
      <c r="F8" s="19"/>
      <c r="G8" s="19"/>
      <c r="H8" s="19"/>
      <c r="I8" s="19"/>
      <c r="J8" s="19"/>
    </row>
    <row r="9" spans="2:10" x14ac:dyDescent="0.3">
      <c r="B9" t="s">
        <v>225</v>
      </c>
    </row>
    <row r="10" spans="2:10" x14ac:dyDescent="0.3">
      <c r="C10" t="s">
        <v>228</v>
      </c>
    </row>
    <row r="11" spans="2:10" x14ac:dyDescent="0.3">
      <c r="C11" s="1" t="s">
        <v>229</v>
      </c>
    </row>
    <row r="12" spans="2:10" x14ac:dyDescent="0.3">
      <c r="C12" s="1" t="s">
        <v>230</v>
      </c>
    </row>
    <row r="13" spans="2:10" x14ac:dyDescent="0.3">
      <c r="C13" s="1" t="s">
        <v>231</v>
      </c>
    </row>
    <row r="15" spans="2:10" x14ac:dyDescent="0.3">
      <c r="C15" s="48" t="s">
        <v>233</v>
      </c>
    </row>
    <row r="16" spans="2:10" x14ac:dyDescent="0.3">
      <c r="C16" s="1" t="s">
        <v>232</v>
      </c>
      <c r="D16" s="50">
        <f ca="1">C_LAST_PRICE("ETH","EUR")</f>
        <v>707.21</v>
      </c>
    </row>
    <row r="17" spans="2:10" x14ac:dyDescent="0.3">
      <c r="C17" s="1" t="s">
        <v>234</v>
      </c>
      <c r="D17" s="51">
        <f ca="1">C_LAST_PRICE("XLM","BTC","Kraken")</f>
        <v>3.222E-5</v>
      </c>
    </row>
    <row r="18" spans="2:10" x14ac:dyDescent="0.3">
      <c r="C18" s="1" t="s">
        <v>235</v>
      </c>
      <c r="D18" s="50" t="str">
        <f ca="1">C_LAST_PRICE("BTC","XLM","Kraken")</f>
        <v>ERROR Kraken market does not exist for this coin pair (BTC-XLM)</v>
      </c>
    </row>
    <row r="20" spans="2:10" x14ac:dyDescent="0.3">
      <c r="B20" s="18" t="s">
        <v>222</v>
      </c>
      <c r="C20" s="19"/>
      <c r="D20" s="19"/>
      <c r="E20" s="19"/>
      <c r="F20" s="19"/>
      <c r="G20" s="19"/>
      <c r="H20" s="19"/>
      <c r="I20" s="19"/>
      <c r="J20" s="19"/>
    </row>
    <row r="21" spans="2:10" x14ac:dyDescent="0.3">
      <c r="B21" t="s">
        <v>239</v>
      </c>
    </row>
    <row r="22" spans="2:10" x14ac:dyDescent="0.3">
      <c r="C22" t="s">
        <v>228</v>
      </c>
    </row>
    <row r="23" spans="2:10" x14ac:dyDescent="0.3">
      <c r="C23" s="1" t="s">
        <v>229</v>
      </c>
    </row>
    <row r="24" spans="2:10" x14ac:dyDescent="0.3">
      <c r="C24" s="1" t="s">
        <v>230</v>
      </c>
    </row>
    <row r="25" spans="2:10" x14ac:dyDescent="0.3">
      <c r="C25" s="1" t="s">
        <v>237</v>
      </c>
    </row>
    <row r="26" spans="2:10" x14ac:dyDescent="0.3">
      <c r="C26" s="1" t="s">
        <v>231</v>
      </c>
    </row>
    <row r="28" spans="2:10" x14ac:dyDescent="0.3">
      <c r="C28" s="48" t="s">
        <v>233</v>
      </c>
    </row>
    <row r="29" spans="2:10" x14ac:dyDescent="0.3">
      <c r="C29" s="1" t="s">
        <v>236</v>
      </c>
      <c r="D29" s="50">
        <f ca="1">C_HIST_PRICE("XMR","EUR",DATE(2018,1,1))</f>
        <v>288.55</v>
      </c>
    </row>
    <row r="30" spans="2:10" x14ac:dyDescent="0.3">
      <c r="C30" s="1" t="s">
        <v>238</v>
      </c>
      <c r="D30" s="50">
        <f ca="1">C_HIST_PRICE("XLM","BTC",DATE(2018,1,1), "Poloniex")</f>
        <v>3.612E-5</v>
      </c>
    </row>
    <row r="31" spans="2:10" x14ac:dyDescent="0.3">
      <c r="C31" s="1"/>
    </row>
    <row r="32" spans="2:10" x14ac:dyDescent="0.3">
      <c r="B32" s="18" t="s">
        <v>223</v>
      </c>
      <c r="C32" s="19"/>
      <c r="D32" s="19"/>
      <c r="E32" s="19"/>
      <c r="F32" s="19"/>
      <c r="G32" s="19"/>
      <c r="H32" s="19"/>
      <c r="I32" s="19"/>
      <c r="J32" s="19"/>
    </row>
    <row r="33" spans="2:10" x14ac:dyDescent="0.3">
      <c r="B33" t="s">
        <v>240</v>
      </c>
    </row>
    <row r="34" spans="2:10" x14ac:dyDescent="0.3">
      <c r="C34" t="s">
        <v>228</v>
      </c>
    </row>
    <row r="35" spans="2:10" x14ac:dyDescent="0.3">
      <c r="C35" s="1" t="s">
        <v>229</v>
      </c>
    </row>
    <row r="36" spans="2:10" x14ac:dyDescent="0.3">
      <c r="C36" s="1" t="s">
        <v>230</v>
      </c>
    </row>
    <row r="37" spans="2:10" x14ac:dyDescent="0.3">
      <c r="C37" s="1" t="s">
        <v>237</v>
      </c>
    </row>
    <row r="38" spans="2:10" x14ac:dyDescent="0.3">
      <c r="C38" s="1" t="s">
        <v>231</v>
      </c>
    </row>
    <row r="40" spans="2:10" x14ac:dyDescent="0.3">
      <c r="C40" s="48" t="s">
        <v>233</v>
      </c>
    </row>
    <row r="41" spans="2:10" x14ac:dyDescent="0.3">
      <c r="C41" s="1" t="s">
        <v>242</v>
      </c>
      <c r="D41" s="50">
        <f ca="1">C_DAY_AVG_PRICE("XMR","EUR","2017/07/01")</f>
        <v>36.47</v>
      </c>
    </row>
    <row r="42" spans="2:10" x14ac:dyDescent="0.3">
      <c r="C42" s="1" t="s">
        <v>241</v>
      </c>
      <c r="D42" s="50">
        <f ca="1">C_DAY_AVG_PRICE("DOGE","BTC","1-7-2017", "HitBTC")</f>
        <v>9.7999999999999993E-7</v>
      </c>
    </row>
    <row r="43" spans="2:10" x14ac:dyDescent="0.3">
      <c r="C43" s="1"/>
    </row>
    <row r="44" spans="2:10" x14ac:dyDescent="0.3">
      <c r="B44" s="18" t="s">
        <v>224</v>
      </c>
      <c r="C44" s="19"/>
      <c r="D44" s="19"/>
      <c r="E44" s="19"/>
      <c r="F44" s="19"/>
      <c r="G44" s="19"/>
      <c r="H44" s="19"/>
      <c r="I44" s="19"/>
      <c r="J44" s="19"/>
    </row>
    <row r="45" spans="2:10" x14ac:dyDescent="0.3">
      <c r="B45" t="s">
        <v>243</v>
      </c>
    </row>
    <row r="46" spans="2:10" x14ac:dyDescent="0.3">
      <c r="B46" t="s">
        <v>249</v>
      </c>
    </row>
    <row r="47" spans="2:10" x14ac:dyDescent="0.3">
      <c r="B47" t="s">
        <v>244</v>
      </c>
    </row>
    <row r="48" spans="2:10" x14ac:dyDescent="0.3">
      <c r="C48" t="s">
        <v>228</v>
      </c>
    </row>
    <row r="49" spans="3:6" x14ac:dyDescent="0.3">
      <c r="C49" s="1" t="s">
        <v>288</v>
      </c>
    </row>
    <row r="50" spans="3:6" x14ac:dyDescent="0.3">
      <c r="C50" s="1" t="s">
        <v>229</v>
      </c>
    </row>
    <row r="51" spans="3:6" x14ac:dyDescent="0.3">
      <c r="C51" s="1" t="s">
        <v>230</v>
      </c>
    </row>
    <row r="52" spans="3:6" x14ac:dyDescent="0.3">
      <c r="C52" s="1" t="s">
        <v>245</v>
      </c>
    </row>
    <row r="53" spans="3:6" x14ac:dyDescent="0.3">
      <c r="C53" s="49" t="s">
        <v>246</v>
      </c>
    </row>
    <row r="54" spans="3:6" x14ac:dyDescent="0.3">
      <c r="C54" s="1" t="s">
        <v>247</v>
      </c>
    </row>
    <row r="55" spans="3:6" x14ac:dyDescent="0.3">
      <c r="C55" s="1" t="s">
        <v>248</v>
      </c>
    </row>
    <row r="56" spans="3:6" x14ac:dyDescent="0.3">
      <c r="C56" s="1" t="s">
        <v>231</v>
      </c>
    </row>
    <row r="58" spans="3:6" x14ac:dyDescent="0.3">
      <c r="C58" s="48" t="s">
        <v>233</v>
      </c>
    </row>
    <row r="59" spans="3:6" x14ac:dyDescent="0.3">
      <c r="C59" s="1" t="s">
        <v>250</v>
      </c>
      <c r="D59" s="52" t="str">
        <f t="array" aca="1" ref="D59:F69" ca="1">C_ARR_OHLCV("D","ETH","BTC","ECV",10)</f>
        <v>time</v>
      </c>
      <c r="E59" s="52" t="str">
        <f ca="1"/>
        <v>close</v>
      </c>
      <c r="F59" s="52" t="str">
        <f ca="1"/>
        <v>volumeto</v>
      </c>
    </row>
    <row r="60" spans="3:6" x14ac:dyDescent="0.3">
      <c r="D60" s="53">
        <f ca="1"/>
        <v>43149</v>
      </c>
      <c r="E60" s="54">
        <f ca="1"/>
        <v>8.77E-2</v>
      </c>
      <c r="F60" s="54">
        <f ca="1"/>
        <v>39662.07</v>
      </c>
    </row>
    <row r="61" spans="3:6" x14ac:dyDescent="0.3">
      <c r="D61" s="53">
        <f ca="1"/>
        <v>43150</v>
      </c>
      <c r="E61" s="54">
        <f ca="1"/>
        <v>8.4250000000000005E-2</v>
      </c>
      <c r="F61" s="54">
        <f ca="1"/>
        <v>38273.589999999997</v>
      </c>
    </row>
    <row r="62" spans="3:6" x14ac:dyDescent="0.3">
      <c r="D62" s="53">
        <f ca="1"/>
        <v>43151</v>
      </c>
      <c r="E62" s="54">
        <f ca="1"/>
        <v>7.8759999999999997E-2</v>
      </c>
      <c r="F62" s="54">
        <f ca="1"/>
        <v>47868.38</v>
      </c>
    </row>
    <row r="63" spans="3:6" x14ac:dyDescent="0.3">
      <c r="D63" s="53">
        <f ca="1"/>
        <v>43152</v>
      </c>
      <c r="E63" s="54">
        <f ca="1"/>
        <v>8.0130000000000007E-2</v>
      </c>
      <c r="F63" s="54">
        <f ca="1"/>
        <v>41260.92</v>
      </c>
    </row>
    <row r="64" spans="3:6" x14ac:dyDescent="0.3">
      <c r="D64" s="53">
        <f ca="1"/>
        <v>43153</v>
      </c>
      <c r="E64" s="54">
        <f ca="1"/>
        <v>8.1629999999999994E-2</v>
      </c>
      <c r="F64" s="54">
        <f ca="1"/>
        <v>33825.949999999997</v>
      </c>
    </row>
    <row r="65" spans="3:11" x14ac:dyDescent="0.3">
      <c r="D65" s="53">
        <f ca="1"/>
        <v>43154</v>
      </c>
      <c r="E65" s="54">
        <f ca="1"/>
        <v>8.4220000000000003E-2</v>
      </c>
      <c r="F65" s="54">
        <f ca="1"/>
        <v>40817.42</v>
      </c>
    </row>
    <row r="66" spans="3:11" x14ac:dyDescent="0.3">
      <c r="D66" s="53">
        <f ca="1"/>
        <v>43155</v>
      </c>
      <c r="E66" s="54">
        <f ca="1"/>
        <v>8.5999999999999993E-2</v>
      </c>
      <c r="F66" s="54">
        <f ca="1"/>
        <v>31945.62</v>
      </c>
    </row>
    <row r="67" spans="3:11" x14ac:dyDescent="0.3">
      <c r="D67" s="53">
        <f ca="1"/>
        <v>43156</v>
      </c>
      <c r="E67" s="54">
        <f ca="1"/>
        <v>8.7830000000000005E-2</v>
      </c>
      <c r="F67" s="54">
        <f ca="1"/>
        <v>31686.639999999999</v>
      </c>
    </row>
    <row r="68" spans="3:11" x14ac:dyDescent="0.3">
      <c r="D68" s="53">
        <f ca="1"/>
        <v>43157</v>
      </c>
      <c r="E68" s="54">
        <f ca="1"/>
        <v>8.4129999999999996E-2</v>
      </c>
      <c r="F68" s="54">
        <f ca="1"/>
        <v>40532.910000000003</v>
      </c>
    </row>
    <row r="69" spans="3:11" x14ac:dyDescent="0.3">
      <c r="D69" s="53">
        <f ca="1"/>
        <v>43158</v>
      </c>
      <c r="E69" s="54">
        <f ca="1"/>
        <v>8.2220000000000001E-2</v>
      </c>
      <c r="F69" s="54">
        <f ca="1"/>
        <v>38179.68</v>
      </c>
    </row>
    <row r="72" spans="3:11" x14ac:dyDescent="0.3">
      <c r="C72" s="1" t="s">
        <v>251</v>
      </c>
      <c r="D72" s="52" t="str">
        <f t="array" aca="1" ref="D72:K120" ca="1">C_ARR_OHLCV("2H","XLM","BTC","TEOHLCFV",48,DATE(2018,1,1),"Kraken")</f>
        <v>time</v>
      </c>
      <c r="E72" s="52" t="str">
        <f ca="1"/>
        <v>time</v>
      </c>
      <c r="F72" s="52" t="str">
        <f ca="1"/>
        <v>open</v>
      </c>
      <c r="G72" s="52" t="str">
        <f ca="1"/>
        <v>high</v>
      </c>
      <c r="H72" s="52" t="str">
        <f ca="1"/>
        <v>low</v>
      </c>
      <c r="I72" s="52" t="str">
        <f ca="1"/>
        <v>close</v>
      </c>
      <c r="J72" s="52" t="str">
        <f ca="1"/>
        <v>volumefrom</v>
      </c>
      <c r="K72" s="52" t="str">
        <f ca="1"/>
        <v>volumeto</v>
      </c>
    </row>
    <row r="73" spans="3:11" x14ac:dyDescent="0.3">
      <c r="C73" s="1" t="s">
        <v>289</v>
      </c>
      <c r="D73" s="50">
        <f ca="1"/>
        <v>1514419200</v>
      </c>
      <c r="E73" s="55">
        <f ca="1"/>
        <v>43097</v>
      </c>
      <c r="F73" s="51">
        <f ca="1"/>
        <v>1.455E-5</v>
      </c>
      <c r="G73" s="51">
        <f ca="1"/>
        <v>1.471E-5</v>
      </c>
      <c r="H73" s="51">
        <f ca="1"/>
        <v>1.4440000000000001E-5</v>
      </c>
      <c r="I73" s="51">
        <f ca="1"/>
        <v>1.4589999999999999E-5</v>
      </c>
      <c r="J73" s="56">
        <f ca="1"/>
        <v>526205.89</v>
      </c>
      <c r="K73" s="56">
        <f ca="1"/>
        <v>7.68</v>
      </c>
    </row>
    <row r="74" spans="3:11" x14ac:dyDescent="0.3">
      <c r="C74" s="1" t="s">
        <v>290</v>
      </c>
      <c r="D74" s="50">
        <f ca="1"/>
        <v>1514426400</v>
      </c>
      <c r="E74" s="55">
        <f ca="1"/>
        <v>43097.083333333336</v>
      </c>
      <c r="F74" s="51">
        <f ca="1"/>
        <v>1.4589999999999999E-5</v>
      </c>
      <c r="G74" s="51">
        <f ca="1"/>
        <v>1.473E-5</v>
      </c>
      <c r="H74" s="51">
        <f ca="1"/>
        <v>1.345E-5</v>
      </c>
      <c r="I74" s="51">
        <f ca="1"/>
        <v>1.464E-5</v>
      </c>
      <c r="J74" s="56">
        <f ca="1"/>
        <v>1511910.76</v>
      </c>
      <c r="K74" s="56">
        <f ca="1"/>
        <v>21.53</v>
      </c>
    </row>
    <row r="75" spans="3:11" x14ac:dyDescent="0.3">
      <c r="D75" s="50">
        <f ca="1"/>
        <v>1514433600</v>
      </c>
      <c r="E75" s="55">
        <f ca="1"/>
        <v>43097.166666666664</v>
      </c>
      <c r="F75" s="51">
        <f ca="1"/>
        <v>1.464E-5</v>
      </c>
      <c r="G75" s="51">
        <f ca="1"/>
        <v>1.469E-5</v>
      </c>
      <c r="H75" s="51">
        <f ca="1"/>
        <v>1.4E-5</v>
      </c>
      <c r="I75" s="51">
        <f ca="1"/>
        <v>1.4450000000000001E-5</v>
      </c>
      <c r="J75" s="56" t="str">
        <f ca="1"/>
        <v>966908.8500000001</v>
      </c>
      <c r="K75" s="56">
        <f ca="1"/>
        <v>13.89</v>
      </c>
    </row>
    <row r="76" spans="3:11" x14ac:dyDescent="0.3">
      <c r="D76" s="50">
        <f ca="1"/>
        <v>1514440800</v>
      </c>
      <c r="E76" s="55">
        <f ca="1"/>
        <v>43097.25</v>
      </c>
      <c r="F76" s="51">
        <f ca="1"/>
        <v>1.4450000000000001E-5</v>
      </c>
      <c r="G76" s="51">
        <f ca="1"/>
        <v>1.464E-5</v>
      </c>
      <c r="H76" s="51">
        <f ca="1"/>
        <v>1.417E-5</v>
      </c>
      <c r="I76" s="51">
        <f ca="1"/>
        <v>1.4579999999999999E-5</v>
      </c>
      <c r="J76" s="56" t="str">
        <f ca="1"/>
        <v>833357.9299999999</v>
      </c>
      <c r="K76" s="56">
        <f ca="1"/>
        <v>11.97</v>
      </c>
    </row>
    <row r="77" spans="3:11" x14ac:dyDescent="0.3">
      <c r="D77" s="50">
        <f ca="1"/>
        <v>1514448000</v>
      </c>
      <c r="E77" s="55">
        <f ca="1"/>
        <v>43097.333333333336</v>
      </c>
      <c r="F77" s="51">
        <f ca="1"/>
        <v>1.4579999999999999E-5</v>
      </c>
      <c r="G77" s="51">
        <f ca="1"/>
        <v>1.4579999999999999E-5</v>
      </c>
      <c r="H77" s="51">
        <f ca="1"/>
        <v>1.3900000000000001E-5</v>
      </c>
      <c r="I77" s="51">
        <f ca="1"/>
        <v>1.436E-5</v>
      </c>
      <c r="J77" s="56">
        <f ca="1"/>
        <v>1058522.69</v>
      </c>
      <c r="K77" s="56">
        <f ca="1"/>
        <v>15.06</v>
      </c>
    </row>
    <row r="78" spans="3:11" x14ac:dyDescent="0.3">
      <c r="D78" s="50">
        <f ca="1"/>
        <v>1514455200</v>
      </c>
      <c r="E78" s="55">
        <f ca="1"/>
        <v>43097.416666666664</v>
      </c>
      <c r="F78" s="51">
        <f ca="1"/>
        <v>1.436E-5</v>
      </c>
      <c r="G78" s="51">
        <f ca="1"/>
        <v>1.448E-5</v>
      </c>
      <c r="H78" s="51">
        <f ca="1"/>
        <v>1.4229999999999999E-5</v>
      </c>
      <c r="I78" s="51">
        <f ca="1"/>
        <v>1.433E-5</v>
      </c>
      <c r="J78" s="56">
        <f ca="1"/>
        <v>763329.2</v>
      </c>
      <c r="K78" s="56" t="str">
        <f ca="1"/>
        <v>10.969999999999999</v>
      </c>
    </row>
    <row r="79" spans="3:11" x14ac:dyDescent="0.3">
      <c r="D79" s="50">
        <f ca="1"/>
        <v>1514462400</v>
      </c>
      <c r="E79" s="55">
        <f ca="1"/>
        <v>43097.5</v>
      </c>
      <c r="F79" s="51">
        <f ca="1"/>
        <v>1.433E-5</v>
      </c>
      <c r="G79" s="51">
        <f ca="1"/>
        <v>1.5E-5</v>
      </c>
      <c r="H79" s="51">
        <f ca="1"/>
        <v>1.429E-5</v>
      </c>
      <c r="I79" s="51">
        <f ca="1"/>
        <v>1.464E-5</v>
      </c>
      <c r="J79" s="56" t="str">
        <f ca="1"/>
        <v>1185018.6400000001</v>
      </c>
      <c r="K79" s="56">
        <f ca="1"/>
        <v>17.2</v>
      </c>
    </row>
    <row r="80" spans="3:11" x14ac:dyDescent="0.3">
      <c r="D80" s="50">
        <f ca="1"/>
        <v>1514469600</v>
      </c>
      <c r="E80" s="55">
        <f ca="1"/>
        <v>43097.583333333336</v>
      </c>
      <c r="F80" s="51">
        <f ca="1"/>
        <v>1.464E-5</v>
      </c>
      <c r="G80" s="51">
        <f ca="1"/>
        <v>1.4949999999999999E-5</v>
      </c>
      <c r="H80" s="51">
        <f ca="1"/>
        <v>1.456E-5</v>
      </c>
      <c r="I80" s="51">
        <f ca="1"/>
        <v>1.466E-5</v>
      </c>
      <c r="J80" s="56">
        <f ca="1"/>
        <v>1309158.05</v>
      </c>
      <c r="K80" s="56">
        <f ca="1"/>
        <v>19.25</v>
      </c>
    </row>
    <row r="81" spans="4:11" x14ac:dyDescent="0.3">
      <c r="D81" s="50">
        <f ca="1"/>
        <v>1514476800</v>
      </c>
      <c r="E81" s="55">
        <f ca="1"/>
        <v>43097.666666666664</v>
      </c>
      <c r="F81" s="51">
        <f ca="1"/>
        <v>1.466E-5</v>
      </c>
      <c r="G81" s="51">
        <f ca="1"/>
        <v>1.5150000000000001E-5</v>
      </c>
      <c r="H81" s="51">
        <f ca="1"/>
        <v>1.436E-5</v>
      </c>
      <c r="I81" s="51">
        <f ca="1"/>
        <v>1.507E-5</v>
      </c>
      <c r="J81" s="56">
        <f ca="1"/>
        <v>2081526.13</v>
      </c>
      <c r="K81" s="56">
        <f ca="1"/>
        <v>30.96</v>
      </c>
    </row>
    <row r="82" spans="4:11" x14ac:dyDescent="0.3">
      <c r="D82" s="50">
        <f ca="1"/>
        <v>1514484000</v>
      </c>
      <c r="E82" s="55">
        <f ca="1"/>
        <v>43097.75</v>
      </c>
      <c r="F82" s="51">
        <f ca="1"/>
        <v>1.507E-5</v>
      </c>
      <c r="G82" s="51">
        <f ca="1"/>
        <v>1.571E-5</v>
      </c>
      <c r="H82" s="51">
        <f ca="1"/>
        <v>1.5E-5</v>
      </c>
      <c r="I82" s="51">
        <f ca="1"/>
        <v>1.558E-5</v>
      </c>
      <c r="J82" s="56">
        <f ca="1"/>
        <v>3759282.43</v>
      </c>
      <c r="K82" s="56" t="str">
        <f ca="1"/>
        <v>57.919999999999995</v>
      </c>
    </row>
    <row r="83" spans="4:11" x14ac:dyDescent="0.3">
      <c r="D83" s="50">
        <f ca="1"/>
        <v>1514491200</v>
      </c>
      <c r="E83" s="55">
        <f ca="1"/>
        <v>43097.833333333336</v>
      </c>
      <c r="F83" s="51">
        <f ca="1"/>
        <v>1.558E-5</v>
      </c>
      <c r="G83" s="51">
        <f ca="1"/>
        <v>1.5630000000000001E-5</v>
      </c>
      <c r="H83" s="51">
        <f ca="1"/>
        <v>1.5319999999999999E-5</v>
      </c>
      <c r="I83" s="51">
        <f ca="1"/>
        <v>1.541E-5</v>
      </c>
      <c r="J83" s="56" t="str">
        <f ca="1"/>
        <v>1018936.3099999999</v>
      </c>
      <c r="K83" s="56" t="str">
        <f ca="1"/>
        <v>15.780000000000001</v>
      </c>
    </row>
    <row r="84" spans="4:11" x14ac:dyDescent="0.3">
      <c r="D84" s="50">
        <f ca="1"/>
        <v>1514498400</v>
      </c>
      <c r="E84" s="55">
        <f ca="1"/>
        <v>43097.916666666664</v>
      </c>
      <c r="F84" s="51">
        <f ca="1"/>
        <v>1.541E-5</v>
      </c>
      <c r="G84" s="51">
        <f ca="1"/>
        <v>1.5999999999999999E-5</v>
      </c>
      <c r="H84" s="51">
        <f ca="1"/>
        <v>1.521E-5</v>
      </c>
      <c r="I84" s="51">
        <f ca="1"/>
        <v>1.541E-5</v>
      </c>
      <c r="J84" s="56">
        <f ca="1"/>
        <v>1842118.29</v>
      </c>
      <c r="K84" s="56">
        <f ca="1"/>
        <v>28.97</v>
      </c>
    </row>
    <row r="85" spans="4:11" x14ac:dyDescent="0.3">
      <c r="D85" s="50">
        <f ca="1"/>
        <v>1514505600</v>
      </c>
      <c r="E85" s="55">
        <f ca="1"/>
        <v>43098</v>
      </c>
      <c r="F85" s="51">
        <f ca="1"/>
        <v>1.541E-5</v>
      </c>
      <c r="G85" s="51">
        <f ca="1"/>
        <v>1.5950000000000001E-5</v>
      </c>
      <c r="H85" s="51">
        <f ca="1"/>
        <v>1.52E-5</v>
      </c>
      <c r="I85" s="51">
        <f ca="1"/>
        <v>1.592E-5</v>
      </c>
      <c r="J85" s="56">
        <f ca="1"/>
        <v>1660812.09</v>
      </c>
      <c r="K85" s="56">
        <f ca="1"/>
        <v>25.56</v>
      </c>
    </row>
    <row r="86" spans="4:11" x14ac:dyDescent="0.3">
      <c r="D86" s="50">
        <f ca="1"/>
        <v>1514512800</v>
      </c>
      <c r="E86" s="55">
        <f ca="1"/>
        <v>43098.083333333336</v>
      </c>
      <c r="F86" s="51">
        <f ca="1"/>
        <v>1.592E-5</v>
      </c>
      <c r="G86" s="51">
        <f ca="1"/>
        <v>1.5990000000000001E-5</v>
      </c>
      <c r="H86" s="51">
        <f ca="1"/>
        <v>1.554E-5</v>
      </c>
      <c r="I86" s="51">
        <f ca="1"/>
        <v>1.59E-5</v>
      </c>
      <c r="J86" s="56">
        <f ca="1"/>
        <v>1380224.4</v>
      </c>
      <c r="K86" s="56">
        <f ca="1"/>
        <v>21.8</v>
      </c>
    </row>
    <row r="87" spans="4:11" x14ac:dyDescent="0.3">
      <c r="D87" s="50">
        <f ca="1"/>
        <v>1514520000</v>
      </c>
      <c r="E87" s="55">
        <f ca="1"/>
        <v>43098.166666666664</v>
      </c>
      <c r="F87" s="51">
        <f ca="1"/>
        <v>1.59E-5</v>
      </c>
      <c r="G87" s="51">
        <f ca="1"/>
        <v>1.6500000000000001E-5</v>
      </c>
      <c r="H87" s="51">
        <f ca="1"/>
        <v>1.59E-5</v>
      </c>
      <c r="I87" s="51">
        <f ca="1"/>
        <v>1.6500000000000001E-5</v>
      </c>
      <c r="J87" s="56">
        <f ca="1"/>
        <v>3397998.12</v>
      </c>
      <c r="K87" s="56">
        <f ca="1"/>
        <v>55.52</v>
      </c>
    </row>
    <row r="88" spans="4:11" x14ac:dyDescent="0.3">
      <c r="D88" s="50">
        <f ca="1"/>
        <v>1514527200</v>
      </c>
      <c r="E88" s="55">
        <f ca="1"/>
        <v>43098.25</v>
      </c>
      <c r="F88" s="51">
        <f ca="1"/>
        <v>1.6500000000000001E-5</v>
      </c>
      <c r="G88" s="51">
        <f ca="1"/>
        <v>1.698E-5</v>
      </c>
      <c r="H88" s="51">
        <f ca="1"/>
        <v>1.6099999999999998E-5</v>
      </c>
      <c r="I88" s="51">
        <f ca="1"/>
        <v>1.6290000000000002E-5</v>
      </c>
      <c r="J88" s="56">
        <f ca="1"/>
        <v>1876367.77</v>
      </c>
      <c r="K88" s="56">
        <f ca="1"/>
        <v>31.04</v>
      </c>
    </row>
    <row r="89" spans="4:11" x14ac:dyDescent="0.3">
      <c r="D89" s="50">
        <f ca="1"/>
        <v>1514534400</v>
      </c>
      <c r="E89" s="55">
        <f ca="1"/>
        <v>43098.333333333336</v>
      </c>
      <c r="F89" s="51">
        <f ca="1"/>
        <v>1.6290000000000002E-5</v>
      </c>
      <c r="G89" s="51">
        <f ca="1"/>
        <v>1.7450000000000001E-5</v>
      </c>
      <c r="H89" s="51">
        <f ca="1"/>
        <v>1.6019999999999999E-5</v>
      </c>
      <c r="I89" s="51">
        <f ca="1"/>
        <v>1.685E-5</v>
      </c>
      <c r="J89" s="56">
        <f ca="1"/>
        <v>3640110.84</v>
      </c>
      <c r="K89" s="56">
        <f ca="1"/>
        <v>60.79</v>
      </c>
    </row>
    <row r="90" spans="4:11" x14ac:dyDescent="0.3">
      <c r="D90" s="50">
        <f ca="1"/>
        <v>1514541600</v>
      </c>
      <c r="E90" s="55">
        <f ca="1"/>
        <v>43098.416666666664</v>
      </c>
      <c r="F90" s="51">
        <f ca="1"/>
        <v>1.685E-5</v>
      </c>
      <c r="G90" s="51">
        <f ca="1"/>
        <v>1.8689999999999999E-5</v>
      </c>
      <c r="H90" s="51">
        <f ca="1"/>
        <v>1.605E-5</v>
      </c>
      <c r="I90" s="51">
        <f ca="1"/>
        <v>1.8689999999999999E-5</v>
      </c>
      <c r="J90" s="56">
        <f ca="1"/>
        <v>7840446.21</v>
      </c>
      <c r="K90" s="56">
        <f ca="1"/>
        <v>136.97</v>
      </c>
    </row>
    <row r="91" spans="4:11" x14ac:dyDescent="0.3">
      <c r="D91" s="50">
        <f ca="1"/>
        <v>1514548800</v>
      </c>
      <c r="E91" s="55">
        <f ca="1"/>
        <v>43098.5</v>
      </c>
      <c r="F91" s="51">
        <f ca="1"/>
        <v>1.8689999999999999E-5</v>
      </c>
      <c r="G91" s="51">
        <f ca="1"/>
        <v>1.8989999999999999E-5</v>
      </c>
      <c r="H91" s="51">
        <f ca="1"/>
        <v>1.802E-5</v>
      </c>
      <c r="I91" s="51">
        <f ca="1"/>
        <v>1.825E-5</v>
      </c>
      <c r="J91" s="56">
        <f ca="1"/>
        <v>9265250.9700000007</v>
      </c>
      <c r="K91" s="56">
        <f ca="1"/>
        <v>171.05</v>
      </c>
    </row>
    <row r="92" spans="4:11" x14ac:dyDescent="0.3">
      <c r="D92" s="50">
        <f ca="1"/>
        <v>1514556000</v>
      </c>
      <c r="E92" s="55">
        <f ca="1"/>
        <v>43098.583333333336</v>
      </c>
      <c r="F92" s="51">
        <f ca="1"/>
        <v>1.825E-5</v>
      </c>
      <c r="G92" s="51">
        <f ca="1"/>
        <v>1.999E-5</v>
      </c>
      <c r="H92" s="51">
        <f ca="1"/>
        <v>1.8130000000000001E-5</v>
      </c>
      <c r="I92" s="51">
        <f ca="1"/>
        <v>1.897E-5</v>
      </c>
      <c r="J92" s="56">
        <f ca="1"/>
        <v>7850127.0499999998</v>
      </c>
      <c r="K92" s="56">
        <f ca="1"/>
        <v>150.69</v>
      </c>
    </row>
    <row r="93" spans="4:11" x14ac:dyDescent="0.3">
      <c r="D93" s="50">
        <f ca="1"/>
        <v>1514563200</v>
      </c>
      <c r="E93" s="55">
        <f ca="1"/>
        <v>43098.666666666664</v>
      </c>
      <c r="F93" s="51">
        <f ca="1"/>
        <v>1.897E-5</v>
      </c>
      <c r="G93" s="51">
        <f ca="1"/>
        <v>1.9979999999999998E-5</v>
      </c>
      <c r="H93" s="51">
        <f ca="1"/>
        <v>1.8649999999999999E-5</v>
      </c>
      <c r="I93" s="51">
        <f ca="1"/>
        <v>1.98E-5</v>
      </c>
      <c r="J93" s="56">
        <f ca="1"/>
        <v>4385247.6100000003</v>
      </c>
      <c r="K93" s="56">
        <f ca="1"/>
        <v>85.03</v>
      </c>
    </row>
    <row r="94" spans="4:11" x14ac:dyDescent="0.3">
      <c r="D94" s="50">
        <f ca="1"/>
        <v>1514570400</v>
      </c>
      <c r="E94" s="55">
        <f ca="1"/>
        <v>43098.75</v>
      </c>
      <c r="F94" s="51">
        <f ca="1"/>
        <v>1.9890000000000001E-5</v>
      </c>
      <c r="G94" s="51">
        <f ca="1"/>
        <v>2.1950000000000002E-5</v>
      </c>
      <c r="H94" s="51">
        <f ca="1"/>
        <v>1.95E-5</v>
      </c>
      <c r="I94" s="51">
        <f ca="1"/>
        <v>2.088E-5</v>
      </c>
      <c r="J94" s="56">
        <f ca="1"/>
        <v>8462616.6099999994</v>
      </c>
      <c r="K94" s="56">
        <f ca="1"/>
        <v>170.99</v>
      </c>
    </row>
    <row r="95" spans="4:11" x14ac:dyDescent="0.3">
      <c r="D95" s="50">
        <f ca="1"/>
        <v>1514577600</v>
      </c>
      <c r="E95" s="55">
        <f ca="1"/>
        <v>43098.833333333336</v>
      </c>
      <c r="F95" s="51">
        <f ca="1"/>
        <v>2.088E-5</v>
      </c>
      <c r="G95" s="51">
        <f ca="1"/>
        <v>2.1990000000000001E-5</v>
      </c>
      <c r="H95" s="51">
        <f ca="1"/>
        <v>1.9700000000000001E-5</v>
      </c>
      <c r="I95" s="51">
        <f ca="1"/>
        <v>2.0800000000000001E-5</v>
      </c>
      <c r="J95" s="56">
        <f ca="1"/>
        <v>5774654.1299999999</v>
      </c>
      <c r="K95" s="56" t="str">
        <f ca="1"/>
        <v>119.82999999999998</v>
      </c>
    </row>
    <row r="96" spans="4:11" x14ac:dyDescent="0.3">
      <c r="D96" s="50">
        <f ca="1"/>
        <v>1514584800</v>
      </c>
      <c r="E96" s="55">
        <f ca="1"/>
        <v>43098.916666666664</v>
      </c>
      <c r="F96" s="51">
        <f ca="1"/>
        <v>2.0800000000000001E-5</v>
      </c>
      <c r="G96" s="51">
        <f ca="1"/>
        <v>2.4000000000000001E-5</v>
      </c>
      <c r="H96" s="51">
        <f ca="1"/>
        <v>2.0509999999999998E-5</v>
      </c>
      <c r="I96" s="51">
        <f ca="1"/>
        <v>2.2529999999999999E-5</v>
      </c>
      <c r="J96" s="56">
        <f ca="1"/>
        <v>12779040.789999999</v>
      </c>
      <c r="K96" s="56">
        <f ca="1"/>
        <v>292.47000000000003</v>
      </c>
    </row>
    <row r="97" spans="4:11" x14ac:dyDescent="0.3">
      <c r="D97" s="50">
        <f ca="1"/>
        <v>1514592000</v>
      </c>
      <c r="E97" s="55">
        <f ca="1"/>
        <v>43099</v>
      </c>
      <c r="F97" s="51">
        <f ca="1"/>
        <v>2.2529999999999999E-5</v>
      </c>
      <c r="G97" s="51">
        <f ca="1"/>
        <v>2.5999999999999998E-5</v>
      </c>
      <c r="H97" s="51">
        <f ca="1"/>
        <v>2.1889999999999999E-5</v>
      </c>
      <c r="I97" s="51">
        <f ca="1"/>
        <v>2.597E-5</v>
      </c>
      <c r="J97" s="56" t="str">
        <f ca="1"/>
        <v>7997146.029999999</v>
      </c>
      <c r="K97" s="56">
        <f ca="1"/>
        <v>194.06</v>
      </c>
    </row>
    <row r="98" spans="4:11" x14ac:dyDescent="0.3">
      <c r="D98" s="50">
        <f ca="1"/>
        <v>1514599200</v>
      </c>
      <c r="E98" s="55">
        <f ca="1"/>
        <v>43099.083333333336</v>
      </c>
      <c r="F98" s="51">
        <f ca="1"/>
        <v>2.597E-5</v>
      </c>
      <c r="G98" s="51">
        <f ca="1"/>
        <v>2.5999999999999998E-5</v>
      </c>
      <c r="H98" s="51">
        <f ca="1"/>
        <v>2.34E-5</v>
      </c>
      <c r="I98" s="51">
        <f ca="1"/>
        <v>2.4470000000000001E-5</v>
      </c>
      <c r="J98" s="56">
        <f ca="1"/>
        <v>7324847.4299999997</v>
      </c>
      <c r="K98" s="56">
        <f ca="1"/>
        <v>176.55</v>
      </c>
    </row>
    <row r="99" spans="4:11" x14ac:dyDescent="0.3">
      <c r="D99" s="50">
        <f ca="1"/>
        <v>1514606400</v>
      </c>
      <c r="E99" s="55">
        <f ca="1"/>
        <v>43099.166666666664</v>
      </c>
      <c r="F99" s="51">
        <f ca="1"/>
        <v>2.4470000000000001E-5</v>
      </c>
      <c r="G99" s="51">
        <f ca="1"/>
        <v>2.5199999999999999E-5</v>
      </c>
      <c r="H99" s="51">
        <f ca="1"/>
        <v>2.1999999999999999E-5</v>
      </c>
      <c r="I99" s="51">
        <f ca="1"/>
        <v>2.3900000000000002E-5</v>
      </c>
      <c r="J99" s="56">
        <f ca="1"/>
        <v>5491341.96</v>
      </c>
      <c r="K99" s="56">
        <f ca="1"/>
        <v>130.28</v>
      </c>
    </row>
    <row r="100" spans="4:11" x14ac:dyDescent="0.3">
      <c r="D100" s="50">
        <f ca="1"/>
        <v>1514613600</v>
      </c>
      <c r="E100" s="55">
        <f ca="1"/>
        <v>43099.25</v>
      </c>
      <c r="F100" s="51">
        <f ca="1"/>
        <v>2.3900000000000002E-5</v>
      </c>
      <c r="G100" s="51">
        <f ca="1"/>
        <v>2.7209999999999999E-5</v>
      </c>
      <c r="H100" s="51">
        <f ca="1"/>
        <v>2.353E-5</v>
      </c>
      <c r="I100" s="51">
        <f ca="1"/>
        <v>2.6990000000000001E-5</v>
      </c>
      <c r="J100" s="56">
        <f ca="1"/>
        <v>7027528.9900000002</v>
      </c>
      <c r="K100" s="56">
        <f ca="1"/>
        <v>180.17</v>
      </c>
    </row>
    <row r="101" spans="4:11" x14ac:dyDescent="0.3">
      <c r="D101" s="50">
        <f ca="1"/>
        <v>1514620800</v>
      </c>
      <c r="E101" s="55">
        <f ca="1"/>
        <v>43099.333333333336</v>
      </c>
      <c r="F101" s="51">
        <f ca="1"/>
        <v>2.6990000000000001E-5</v>
      </c>
      <c r="G101" s="51">
        <f ca="1"/>
        <v>2.722E-5</v>
      </c>
      <c r="H101" s="51">
        <f ca="1"/>
        <v>2.5020000000000001E-5</v>
      </c>
      <c r="I101" s="51">
        <f ca="1"/>
        <v>2.722E-5</v>
      </c>
      <c r="J101" s="56" t="str">
        <f ca="1"/>
        <v>6203041.5600000005</v>
      </c>
      <c r="K101" s="56">
        <f ca="1"/>
        <v>166.21</v>
      </c>
    </row>
    <row r="102" spans="4:11" x14ac:dyDescent="0.3">
      <c r="D102" s="50">
        <f ca="1"/>
        <v>1514628000</v>
      </c>
      <c r="E102" s="55">
        <f ca="1"/>
        <v>43099.416666666664</v>
      </c>
      <c r="F102" s="51">
        <f ca="1"/>
        <v>2.722E-5</v>
      </c>
      <c r="G102" s="51">
        <f ca="1"/>
        <v>2.8799999999999999E-5</v>
      </c>
      <c r="H102" s="51">
        <f ca="1"/>
        <v>2.404E-5</v>
      </c>
      <c r="I102" s="51">
        <f ca="1"/>
        <v>2.5729999999999999E-5</v>
      </c>
      <c r="J102" s="56">
        <f ca="1"/>
        <v>11106846.77</v>
      </c>
      <c r="K102" s="56">
        <f ca="1"/>
        <v>295.36</v>
      </c>
    </row>
    <row r="103" spans="4:11" x14ac:dyDescent="0.3">
      <c r="D103" s="50">
        <f ca="1"/>
        <v>1514635200</v>
      </c>
      <c r="E103" s="55">
        <f ca="1"/>
        <v>43099.5</v>
      </c>
      <c r="F103" s="51">
        <f ca="1"/>
        <v>2.5729999999999999E-5</v>
      </c>
      <c r="G103" s="51">
        <f ca="1"/>
        <v>2.597E-5</v>
      </c>
      <c r="H103" s="51">
        <f ca="1"/>
        <v>2.2010000000000001E-5</v>
      </c>
      <c r="I103" s="51">
        <f ca="1"/>
        <v>2.444E-5</v>
      </c>
      <c r="J103" s="56">
        <f ca="1"/>
        <v>7602454.0899999999</v>
      </c>
      <c r="K103" s="56">
        <f ca="1"/>
        <v>182.17</v>
      </c>
    </row>
    <row r="104" spans="4:11" x14ac:dyDescent="0.3">
      <c r="D104" s="50">
        <f ca="1"/>
        <v>1514642400</v>
      </c>
      <c r="E104" s="55">
        <f ca="1"/>
        <v>43099.583333333336</v>
      </c>
      <c r="F104" s="51">
        <f ca="1"/>
        <v>2.444E-5</v>
      </c>
      <c r="G104" s="51">
        <f ca="1"/>
        <v>2.6979999999999999E-5</v>
      </c>
      <c r="H104" s="51">
        <f ca="1"/>
        <v>2.408E-5</v>
      </c>
      <c r="I104" s="51">
        <f ca="1"/>
        <v>2.633E-5</v>
      </c>
      <c r="J104" s="56">
        <f ca="1"/>
        <v>3301649.43</v>
      </c>
      <c r="K104" s="56">
        <f ca="1"/>
        <v>83.92</v>
      </c>
    </row>
    <row r="105" spans="4:11" x14ac:dyDescent="0.3">
      <c r="D105" s="50">
        <f ca="1"/>
        <v>1514649600</v>
      </c>
      <c r="E105" s="55">
        <f ca="1"/>
        <v>43099.666666666664</v>
      </c>
      <c r="F105" s="51">
        <f ca="1"/>
        <v>2.633E-5</v>
      </c>
      <c r="G105" s="51">
        <f ca="1"/>
        <v>2.6780000000000001E-5</v>
      </c>
      <c r="H105" s="51">
        <f ca="1"/>
        <v>2.438E-5</v>
      </c>
      <c r="I105" s="51">
        <f ca="1"/>
        <v>2.5130000000000002E-5</v>
      </c>
      <c r="J105" s="56">
        <f ca="1"/>
        <v>4400511.3899999997</v>
      </c>
      <c r="K105" s="56">
        <f ca="1"/>
        <v>111.31</v>
      </c>
    </row>
    <row r="106" spans="4:11" x14ac:dyDescent="0.3">
      <c r="D106" s="50">
        <f ca="1"/>
        <v>1514656800</v>
      </c>
      <c r="E106" s="55">
        <f ca="1"/>
        <v>43099.75</v>
      </c>
      <c r="F106" s="51">
        <f ca="1"/>
        <v>2.5130000000000002E-5</v>
      </c>
      <c r="G106" s="51">
        <f ca="1"/>
        <v>2.6299999999999999E-5</v>
      </c>
      <c r="H106" s="51">
        <f ca="1"/>
        <v>2.4009999999999999E-5</v>
      </c>
      <c r="I106" s="51">
        <f ca="1"/>
        <v>2.5789999999999999E-5</v>
      </c>
      <c r="J106" s="56" t="str">
        <f ca="1"/>
        <v>4040794.1799999997</v>
      </c>
      <c r="K106" s="56">
        <f ca="1"/>
        <v>101.34</v>
      </c>
    </row>
    <row r="107" spans="4:11" x14ac:dyDescent="0.3">
      <c r="D107" s="50">
        <f ca="1"/>
        <v>1514664000</v>
      </c>
      <c r="E107" s="55">
        <f ca="1"/>
        <v>43099.833333333336</v>
      </c>
      <c r="F107" s="51">
        <f ca="1"/>
        <v>2.5789999999999999E-5</v>
      </c>
      <c r="G107" s="51">
        <f ca="1"/>
        <v>2.9300000000000001E-5</v>
      </c>
      <c r="H107" s="51">
        <f ca="1"/>
        <v>2.527E-5</v>
      </c>
      <c r="I107" s="51">
        <f ca="1"/>
        <v>2.6509999999999999E-5</v>
      </c>
      <c r="J107" s="56">
        <f ca="1"/>
        <v>6335981.8300000001</v>
      </c>
      <c r="K107" s="56">
        <f ca="1"/>
        <v>175.57</v>
      </c>
    </row>
    <row r="108" spans="4:11" x14ac:dyDescent="0.3">
      <c r="D108" s="50">
        <f ca="1"/>
        <v>1514671200</v>
      </c>
      <c r="E108" s="55">
        <f ca="1"/>
        <v>43099.916666666664</v>
      </c>
      <c r="F108" s="51">
        <f ca="1"/>
        <v>2.6509999999999999E-5</v>
      </c>
      <c r="G108" s="51">
        <f ca="1"/>
        <v>2.7990000000000001E-5</v>
      </c>
      <c r="H108" s="51">
        <f ca="1"/>
        <v>2.4470000000000001E-5</v>
      </c>
      <c r="I108" s="51">
        <f ca="1"/>
        <v>2.5599999999999999E-5</v>
      </c>
      <c r="J108" s="56">
        <f ca="1"/>
        <v>4652342.67</v>
      </c>
      <c r="K108" s="56">
        <f ca="1"/>
        <v>120.56</v>
      </c>
    </row>
    <row r="109" spans="4:11" x14ac:dyDescent="0.3">
      <c r="D109" s="50">
        <f ca="1"/>
        <v>1514678400</v>
      </c>
      <c r="E109" s="55">
        <f ca="1"/>
        <v>43100</v>
      </c>
      <c r="F109" s="51">
        <f ca="1"/>
        <v>2.5599999999999999E-5</v>
      </c>
      <c r="G109" s="51">
        <f ca="1"/>
        <v>2.6400000000000001E-5</v>
      </c>
      <c r="H109" s="51">
        <f ca="1"/>
        <v>2.3110000000000001E-5</v>
      </c>
      <c r="I109" s="51">
        <f ca="1"/>
        <v>2.548E-5</v>
      </c>
      <c r="J109" s="56">
        <f ca="1"/>
        <v>2525873.21</v>
      </c>
      <c r="K109" s="56">
        <f ca="1"/>
        <v>63.05</v>
      </c>
    </row>
    <row r="110" spans="4:11" x14ac:dyDescent="0.3">
      <c r="D110" s="50">
        <f ca="1"/>
        <v>1514685600</v>
      </c>
      <c r="E110" s="55">
        <f ca="1"/>
        <v>43100.083333333336</v>
      </c>
      <c r="F110" s="51">
        <f ca="1"/>
        <v>2.548E-5</v>
      </c>
      <c r="G110" s="51">
        <f ca="1"/>
        <v>2.5789999999999999E-5</v>
      </c>
      <c r="H110" s="51">
        <f ca="1"/>
        <v>2.3E-5</v>
      </c>
      <c r="I110" s="51">
        <f ca="1"/>
        <v>2.302E-5</v>
      </c>
      <c r="J110" s="56">
        <f ca="1"/>
        <v>2142544.4500000002</v>
      </c>
      <c r="K110" s="56" t="str">
        <f ca="1"/>
        <v>52.099999999999994</v>
      </c>
    </row>
    <row r="111" spans="4:11" x14ac:dyDescent="0.3">
      <c r="D111" s="50">
        <f ca="1"/>
        <v>1514692800</v>
      </c>
      <c r="E111" s="55">
        <f ca="1"/>
        <v>43100.166666666664</v>
      </c>
      <c r="F111" s="51">
        <f ca="1"/>
        <v>2.302E-5</v>
      </c>
      <c r="G111" s="51">
        <f ca="1"/>
        <v>2.4980000000000001E-5</v>
      </c>
      <c r="H111" s="51">
        <f ca="1"/>
        <v>2.3E-5</v>
      </c>
      <c r="I111" s="51">
        <f ca="1"/>
        <v>2.41E-5</v>
      </c>
      <c r="J111" s="56">
        <f ca="1"/>
        <v>1665262.65</v>
      </c>
      <c r="K111" s="56" t="str">
        <f ca="1"/>
        <v>39.769999999999996</v>
      </c>
    </row>
    <row r="112" spans="4:11" x14ac:dyDescent="0.3">
      <c r="D112" s="50">
        <f ca="1"/>
        <v>1514700000</v>
      </c>
      <c r="E112" s="55">
        <f ca="1"/>
        <v>43100.25</v>
      </c>
      <c r="F112" s="51">
        <f ca="1"/>
        <v>2.41E-5</v>
      </c>
      <c r="G112" s="51">
        <f ca="1"/>
        <v>2.4980000000000001E-5</v>
      </c>
      <c r="H112" s="51">
        <f ca="1"/>
        <v>2.3989999999999999E-5</v>
      </c>
      <c r="I112" s="51">
        <f ca="1"/>
        <v>2.4280000000000001E-5</v>
      </c>
      <c r="J112" s="56" t="str">
        <f ca="1"/>
        <v>1632671.1500000001</v>
      </c>
      <c r="K112" s="56" t="str">
        <f ca="1"/>
        <v>39.699999999999996</v>
      </c>
    </row>
    <row r="113" spans="4:11" x14ac:dyDescent="0.3">
      <c r="D113" s="50">
        <f ca="1"/>
        <v>1514707200</v>
      </c>
      <c r="E113" s="55">
        <f ca="1"/>
        <v>43100.333333333336</v>
      </c>
      <c r="F113" s="51">
        <f ca="1"/>
        <v>2.4280000000000001E-5</v>
      </c>
      <c r="G113" s="51">
        <f ca="1"/>
        <v>2.499E-5</v>
      </c>
      <c r="H113" s="51">
        <f ca="1"/>
        <v>2.4199999999999999E-5</v>
      </c>
      <c r="I113" s="51">
        <f ca="1"/>
        <v>2.4499999999999999E-5</v>
      </c>
      <c r="J113" s="56">
        <f ca="1"/>
        <v>758526.59</v>
      </c>
      <c r="K113" s="56">
        <f ca="1"/>
        <v>18.75</v>
      </c>
    </row>
    <row r="114" spans="4:11" x14ac:dyDescent="0.3">
      <c r="D114" s="50">
        <f ca="1"/>
        <v>1514714400</v>
      </c>
      <c r="E114" s="55">
        <f ca="1"/>
        <v>43100.416666666664</v>
      </c>
      <c r="F114" s="51">
        <f ca="1"/>
        <v>2.4499999999999999E-5</v>
      </c>
      <c r="G114" s="51">
        <f ca="1"/>
        <v>2.5000000000000001E-5</v>
      </c>
      <c r="H114" s="51">
        <f ca="1"/>
        <v>2.4009999999999999E-5</v>
      </c>
      <c r="I114" s="51">
        <f ca="1"/>
        <v>2.499E-5</v>
      </c>
      <c r="J114" s="56">
        <f ca="1"/>
        <v>1116405.3899999999</v>
      </c>
      <c r="K114" s="56">
        <f ca="1"/>
        <v>27.58</v>
      </c>
    </row>
    <row r="115" spans="4:11" x14ac:dyDescent="0.3">
      <c r="D115" s="50">
        <f ca="1"/>
        <v>1514721600</v>
      </c>
      <c r="E115" s="55">
        <f ca="1"/>
        <v>43100.5</v>
      </c>
      <c r="F115" s="51">
        <f ca="1"/>
        <v>2.499E-5</v>
      </c>
      <c r="G115" s="51">
        <f ca="1"/>
        <v>2.69E-5</v>
      </c>
      <c r="H115" s="51">
        <f ca="1"/>
        <v>2.4649999999999999E-5</v>
      </c>
      <c r="I115" s="51">
        <f ca="1"/>
        <v>2.601E-5</v>
      </c>
      <c r="J115" s="56">
        <f ca="1"/>
        <v>1522811.08</v>
      </c>
      <c r="K115" s="56">
        <f ca="1"/>
        <v>39.590000000000003</v>
      </c>
    </row>
    <row r="116" spans="4:11" x14ac:dyDescent="0.3">
      <c r="D116" s="50">
        <f ca="1"/>
        <v>1514728800</v>
      </c>
      <c r="E116" s="55">
        <f ca="1"/>
        <v>43100.583333333336</v>
      </c>
      <c r="F116" s="51">
        <f ca="1"/>
        <v>2.601E-5</v>
      </c>
      <c r="G116" s="51">
        <f ca="1"/>
        <v>2.62E-5</v>
      </c>
      <c r="H116" s="51">
        <f ca="1"/>
        <v>2.5219999999999999E-5</v>
      </c>
      <c r="I116" s="51">
        <f ca="1"/>
        <v>2.548E-5</v>
      </c>
      <c r="J116" s="56">
        <f ca="1"/>
        <v>1263137.21</v>
      </c>
      <c r="K116" s="56">
        <f ca="1"/>
        <v>32.630000000000003</v>
      </c>
    </row>
    <row r="117" spans="4:11" x14ac:dyDescent="0.3">
      <c r="D117" s="50">
        <f ca="1"/>
        <v>1514736000</v>
      </c>
      <c r="E117" s="55">
        <f ca="1"/>
        <v>43100.666666666664</v>
      </c>
      <c r="F117" s="51">
        <f ca="1"/>
        <v>2.548E-5</v>
      </c>
      <c r="G117" s="51">
        <f ca="1"/>
        <v>2.6800000000000001E-5</v>
      </c>
      <c r="H117" s="51">
        <f ca="1"/>
        <v>2.4000000000000001E-5</v>
      </c>
      <c r="I117" s="51">
        <f ca="1"/>
        <v>2.65E-5</v>
      </c>
      <c r="J117" s="56" t="str">
        <f ca="1"/>
        <v>2317324.6399999997</v>
      </c>
      <c r="K117" s="56">
        <f ca="1"/>
        <v>58.39</v>
      </c>
    </row>
    <row r="118" spans="4:11" x14ac:dyDescent="0.3">
      <c r="D118" s="50">
        <f ca="1"/>
        <v>1514743200</v>
      </c>
      <c r="E118" s="55">
        <f ca="1"/>
        <v>43100.75</v>
      </c>
      <c r="F118" s="51">
        <f ca="1"/>
        <v>2.65E-5</v>
      </c>
      <c r="G118" s="51">
        <f ca="1"/>
        <v>2.6950000000000001E-5</v>
      </c>
      <c r="H118" s="51">
        <f ca="1"/>
        <v>2.5000000000000001E-5</v>
      </c>
      <c r="I118" s="51">
        <f ca="1"/>
        <v>2.586E-5</v>
      </c>
      <c r="J118" s="56">
        <f ca="1"/>
        <v>1534741.09</v>
      </c>
      <c r="K118" s="56">
        <f ca="1"/>
        <v>39.92</v>
      </c>
    </row>
    <row r="119" spans="4:11" x14ac:dyDescent="0.3">
      <c r="D119" s="50">
        <f ca="1"/>
        <v>1514750400</v>
      </c>
      <c r="E119" s="55">
        <f ca="1"/>
        <v>43100.833333333336</v>
      </c>
      <c r="F119" s="51">
        <f ca="1"/>
        <v>2.586E-5</v>
      </c>
      <c r="G119" s="51">
        <f ca="1"/>
        <v>2.6279999999999999E-5</v>
      </c>
      <c r="H119" s="51">
        <f ca="1"/>
        <v>2.4830000000000001E-5</v>
      </c>
      <c r="I119" s="51">
        <f ca="1"/>
        <v>2.5829999999999998E-5</v>
      </c>
      <c r="J119" s="56">
        <f ca="1"/>
        <v>848446.49</v>
      </c>
      <c r="K119" s="56">
        <f ca="1"/>
        <v>21.61</v>
      </c>
    </row>
    <row r="120" spans="4:11" x14ac:dyDescent="0.3">
      <c r="D120" s="50">
        <f ca="1"/>
        <v>1514757600</v>
      </c>
      <c r="E120" s="55">
        <f ca="1"/>
        <v>43100.916666666664</v>
      </c>
      <c r="F120" s="51">
        <f ca="1"/>
        <v>2.5829999999999998E-5</v>
      </c>
      <c r="G120" s="51">
        <f ca="1"/>
        <v>2.65E-5</v>
      </c>
      <c r="H120" s="51">
        <f ca="1"/>
        <v>2.5299999999999998E-5</v>
      </c>
      <c r="I120" s="51">
        <f ca="1"/>
        <v>2.6400000000000001E-5</v>
      </c>
      <c r="J120" s="56">
        <f ca="1"/>
        <v>905314.75</v>
      </c>
      <c r="K120" s="56">
        <f ca="1"/>
        <v>23.4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D3B22-B7DD-4848-8BF4-40DD491AA634}">
  <sheetPr codeName="Blad8"/>
  <dimension ref="C2:K45"/>
  <sheetViews>
    <sheetView workbookViewId="0">
      <selection activeCell="C3" sqref="C3"/>
    </sheetView>
  </sheetViews>
  <sheetFormatPr defaultRowHeight="14.4" x14ac:dyDescent="0.3"/>
  <cols>
    <col min="1" max="2" width="2.5546875" customWidth="1"/>
    <col min="3" max="3" width="11.33203125" customWidth="1"/>
  </cols>
  <sheetData>
    <row r="2" spans="3:11" x14ac:dyDescent="0.3">
      <c r="D2" s="1" t="s">
        <v>228</v>
      </c>
    </row>
    <row r="3" spans="3:11" x14ac:dyDescent="0.3">
      <c r="C3" s="58" t="s">
        <v>291</v>
      </c>
      <c r="D3" s="1" t="s">
        <v>288</v>
      </c>
    </row>
    <row r="4" spans="3:11" x14ac:dyDescent="0.3">
      <c r="C4" s="58" t="s">
        <v>82</v>
      </c>
      <c r="D4" s="1" t="s">
        <v>229</v>
      </c>
    </row>
    <row r="5" spans="3:11" x14ac:dyDescent="0.3">
      <c r="C5" s="58" t="s">
        <v>55</v>
      </c>
      <c r="D5" s="1" t="s">
        <v>230</v>
      </c>
    </row>
    <row r="6" spans="3:11" x14ac:dyDescent="0.3">
      <c r="C6" s="58" t="s">
        <v>286</v>
      </c>
      <c r="D6" s="1" t="s">
        <v>245</v>
      </c>
      <c r="K6" s="49" t="s">
        <v>246</v>
      </c>
    </row>
    <row r="7" spans="3:11" x14ac:dyDescent="0.3">
      <c r="C7" s="58">
        <v>5</v>
      </c>
      <c r="D7" s="1" t="s">
        <v>247</v>
      </c>
    </row>
    <row r="8" spans="3:11" x14ac:dyDescent="0.3">
      <c r="C8" s="59"/>
      <c r="D8" s="1" t="s">
        <v>248</v>
      </c>
    </row>
    <row r="9" spans="3:11" x14ac:dyDescent="0.3">
      <c r="C9" s="58"/>
      <c r="D9" s="1" t="s">
        <v>231</v>
      </c>
    </row>
    <row r="11" spans="3:11" x14ac:dyDescent="0.3">
      <c r="D11" s="35"/>
    </row>
    <row r="12" spans="3:11" x14ac:dyDescent="0.3">
      <c r="C12" s="18" t="s">
        <v>283</v>
      </c>
      <c r="D12" s="18"/>
      <c r="E12" s="18"/>
      <c r="F12" s="18"/>
      <c r="G12" s="18"/>
      <c r="H12" s="18"/>
    </row>
    <row r="13" spans="3:11" x14ac:dyDescent="0.3">
      <c r="C13" t="s">
        <v>8</v>
      </c>
      <c r="D13" t="s">
        <v>284</v>
      </c>
      <c r="E13" t="s">
        <v>285</v>
      </c>
      <c r="F13" t="s">
        <v>287</v>
      </c>
    </row>
    <row r="14" spans="3:11" x14ac:dyDescent="0.3">
      <c r="C14" s="57">
        <v>43149</v>
      </c>
      <c r="D14">
        <v>8.4250000000000005E-2</v>
      </c>
      <c r="E14">
        <v>77935.66</v>
      </c>
      <c r="F14">
        <v>895277.82</v>
      </c>
    </row>
    <row r="15" spans="3:11" x14ac:dyDescent="0.3">
      <c r="C15" s="57">
        <v>43151</v>
      </c>
      <c r="D15">
        <v>8.0130000000000007E-2</v>
      </c>
      <c r="E15">
        <v>89129.299999999901</v>
      </c>
      <c r="F15">
        <v>1105204.43</v>
      </c>
    </row>
    <row r="16" spans="3:11" x14ac:dyDescent="0.3">
      <c r="C16" s="57">
        <v>43153</v>
      </c>
      <c r="D16">
        <v>8.4220000000000003E-2</v>
      </c>
      <c r="E16">
        <v>74643.37</v>
      </c>
      <c r="F16">
        <v>903181.26</v>
      </c>
    </row>
    <row r="17" spans="3:6" x14ac:dyDescent="0.3">
      <c r="C17" s="57">
        <v>43155</v>
      </c>
      <c r="D17">
        <v>8.7830000000000005E-2</v>
      </c>
      <c r="E17">
        <v>63632.2599999999</v>
      </c>
      <c r="F17">
        <v>740869.61</v>
      </c>
    </row>
    <row r="18" spans="3:6" x14ac:dyDescent="0.3">
      <c r="C18" s="57">
        <v>43157</v>
      </c>
      <c r="D18">
        <v>8.2220000000000001E-2</v>
      </c>
      <c r="E18">
        <v>78712.59</v>
      </c>
      <c r="F18">
        <v>924928.87</v>
      </c>
    </row>
    <row r="19" spans="3:6" x14ac:dyDescent="0.3">
      <c r="C19" s="57">
        <v>43159</v>
      </c>
      <c r="D19">
        <v>8.2830000000000001E-2</v>
      </c>
      <c r="E19">
        <v>28135.07</v>
      </c>
      <c r="F19">
        <v>343769.85</v>
      </c>
    </row>
    <row r="20" spans="3:6" x14ac:dyDescent="0.3">
      <c r="C20" s="57"/>
    </row>
    <row r="21" spans="3:6" x14ac:dyDescent="0.3">
      <c r="C21" s="57"/>
    </row>
    <row r="22" spans="3:6" x14ac:dyDescent="0.3">
      <c r="C22" s="57"/>
    </row>
    <row r="23" spans="3:6" x14ac:dyDescent="0.3">
      <c r="C23" s="57"/>
    </row>
    <row r="24" spans="3:6" x14ac:dyDescent="0.3">
      <c r="C24" s="57"/>
    </row>
    <row r="25" spans="3:6" x14ac:dyDescent="0.3">
      <c r="C25" s="57"/>
    </row>
    <row r="26" spans="3:6" x14ac:dyDescent="0.3">
      <c r="C26" s="57"/>
    </row>
    <row r="27" spans="3:6" x14ac:dyDescent="0.3">
      <c r="C27" s="57"/>
    </row>
    <row r="28" spans="3:6" x14ac:dyDescent="0.3">
      <c r="C28" s="57"/>
    </row>
    <row r="29" spans="3:6" x14ac:dyDescent="0.3">
      <c r="C29" s="57"/>
    </row>
    <row r="30" spans="3:6" x14ac:dyDescent="0.3">
      <c r="C30" s="57"/>
    </row>
    <row r="31" spans="3:6" x14ac:dyDescent="0.3">
      <c r="C31" s="57"/>
    </row>
    <row r="32" spans="3:6" x14ac:dyDescent="0.3">
      <c r="C32" s="57"/>
    </row>
    <row r="33" spans="3:3" x14ac:dyDescent="0.3">
      <c r="C33" s="57"/>
    </row>
    <row r="34" spans="3:3" x14ac:dyDescent="0.3">
      <c r="C34" s="57"/>
    </row>
    <row r="35" spans="3:3" x14ac:dyDescent="0.3">
      <c r="C35" s="57"/>
    </row>
    <row r="36" spans="3:3" x14ac:dyDescent="0.3">
      <c r="C36" s="57"/>
    </row>
    <row r="37" spans="3:3" x14ac:dyDescent="0.3">
      <c r="C37" s="57"/>
    </row>
    <row r="38" spans="3:3" x14ac:dyDescent="0.3">
      <c r="C38" s="57"/>
    </row>
    <row r="39" spans="3:3" x14ac:dyDescent="0.3">
      <c r="C39" s="57"/>
    </row>
    <row r="40" spans="3:3" x14ac:dyDescent="0.3">
      <c r="C40" s="57"/>
    </row>
    <row r="41" spans="3:3" x14ac:dyDescent="0.3">
      <c r="C41" s="57"/>
    </row>
    <row r="42" spans="3:3" x14ac:dyDescent="0.3">
      <c r="C42" s="57"/>
    </row>
    <row r="43" spans="3:3" x14ac:dyDescent="0.3">
      <c r="C43" s="57"/>
    </row>
    <row r="44" spans="3:3" x14ac:dyDescent="0.3">
      <c r="C44" s="57"/>
    </row>
    <row r="45" spans="3:3" x14ac:dyDescent="0.3">
      <c r="C45" s="57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mdGetData">
          <controlPr defaultSize="0" autoLine="0" r:id="rId5">
            <anchor moveWithCells="1">
              <from>
                <xdr:col>8</xdr:col>
                <xdr:colOff>350520</xdr:colOff>
                <xdr:row>9</xdr:row>
                <xdr:rowOff>76200</xdr:rowOff>
              </from>
              <to>
                <xdr:col>12</xdr:col>
                <xdr:colOff>7620</xdr:colOff>
                <xdr:row>11</xdr:row>
                <xdr:rowOff>76200</xdr:rowOff>
              </to>
            </anchor>
          </controlPr>
        </control>
      </mc:Choice>
      <mc:Fallback>
        <control shapeId="1025" r:id="rId4" name="CmdGetData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F23"/>
  <sheetViews>
    <sheetView zoomScale="85" zoomScaleNormal="85" workbookViewId="0">
      <selection activeCell="B3" sqref="B3"/>
    </sheetView>
  </sheetViews>
  <sheetFormatPr defaultRowHeight="14.4" x14ac:dyDescent="0.3"/>
  <cols>
    <col min="1" max="1" width="2.44140625" customWidth="1"/>
    <col min="2" max="2" width="20.109375" customWidth="1"/>
    <col min="3" max="3" width="98.6640625" bestFit="1" customWidth="1"/>
    <col min="4" max="4" width="28.109375" bestFit="1" customWidth="1"/>
    <col min="5" max="5" width="25.77734375" bestFit="1" customWidth="1"/>
    <col min="6" max="6" width="11.33203125" bestFit="1" customWidth="1"/>
    <col min="7" max="7" width="7.5546875" bestFit="1" customWidth="1"/>
    <col min="8" max="8" width="8.5546875" bestFit="1" customWidth="1"/>
    <col min="9" max="9" width="8" bestFit="1" customWidth="1"/>
    <col min="10" max="10" width="12.44140625" bestFit="1" customWidth="1"/>
    <col min="11" max="11" width="6.21875" bestFit="1" customWidth="1"/>
    <col min="12" max="12" width="12.44140625" bestFit="1" customWidth="1"/>
    <col min="13" max="13" width="9.5546875" bestFit="1" customWidth="1"/>
  </cols>
  <sheetData>
    <row r="2" spans="2:6" x14ac:dyDescent="0.3">
      <c r="B2" s="1" t="s">
        <v>0</v>
      </c>
      <c r="C2" s="2" t="s">
        <v>25</v>
      </c>
    </row>
    <row r="3" spans="2:6" x14ac:dyDescent="0.3">
      <c r="B3" s="1" t="s">
        <v>5</v>
      </c>
      <c r="C3" s="2" t="s">
        <v>26</v>
      </c>
    </row>
    <row r="5" spans="2:6" ht="15" thickBot="1" x14ac:dyDescent="0.35">
      <c r="B5" s="18" t="s">
        <v>23</v>
      </c>
      <c r="C5" s="19"/>
      <c r="D5" s="19"/>
      <c r="E5" s="19"/>
      <c r="F5" s="19"/>
    </row>
    <row r="6" spans="2:6" x14ac:dyDescent="0.3">
      <c r="B6" s="9" t="s">
        <v>14</v>
      </c>
      <c r="C6" s="10" t="s">
        <v>15</v>
      </c>
      <c r="D6" s="10" t="s">
        <v>16</v>
      </c>
      <c r="E6" s="10" t="s">
        <v>17</v>
      </c>
      <c r="F6" s="11" t="s">
        <v>18</v>
      </c>
    </row>
    <row r="7" spans="2:6" x14ac:dyDescent="0.3">
      <c r="B7" s="17">
        <v>1</v>
      </c>
      <c r="C7" s="15" t="s">
        <v>19</v>
      </c>
      <c r="D7" s="15" t="s">
        <v>20</v>
      </c>
      <c r="E7" s="15">
        <v>0</v>
      </c>
      <c r="F7" s="16" t="s">
        <v>21</v>
      </c>
    </row>
    <row r="8" spans="2:6" x14ac:dyDescent="0.3">
      <c r="B8" s="17">
        <v>1</v>
      </c>
      <c r="C8" s="15" t="s">
        <v>19</v>
      </c>
      <c r="D8" s="15" t="s">
        <v>4</v>
      </c>
      <c r="E8" s="15">
        <v>2</v>
      </c>
      <c r="F8" s="16" t="s">
        <v>21</v>
      </c>
    </row>
    <row r="9" spans="2:6" x14ac:dyDescent="0.3">
      <c r="B9" s="17">
        <v>2</v>
      </c>
      <c r="C9" s="15" t="s">
        <v>4</v>
      </c>
      <c r="D9" s="15" t="s">
        <v>2</v>
      </c>
      <c r="E9" s="15">
        <v>1517487335</v>
      </c>
      <c r="F9" s="16" t="s">
        <v>22</v>
      </c>
    </row>
    <row r="10" spans="2:6" ht="15" thickBot="1" x14ac:dyDescent="0.35">
      <c r="B10" s="12">
        <v>2</v>
      </c>
      <c r="C10" s="13" t="s">
        <v>4</v>
      </c>
      <c r="D10" s="13" t="s">
        <v>3</v>
      </c>
      <c r="E10" s="13" t="s">
        <v>279</v>
      </c>
      <c r="F10" s="14" t="s">
        <v>22</v>
      </c>
    </row>
    <row r="13" spans="2:6" ht="15" thickBot="1" x14ac:dyDescent="0.35">
      <c r="B13" s="18" t="s">
        <v>24</v>
      </c>
      <c r="C13" s="19"/>
      <c r="D13" s="19"/>
    </row>
    <row r="14" spans="2:6" x14ac:dyDescent="0.3">
      <c r="B14" s="3" t="s">
        <v>1</v>
      </c>
      <c r="C14" s="4" t="s">
        <v>2</v>
      </c>
      <c r="D14" s="5" t="s">
        <v>3</v>
      </c>
    </row>
    <row r="15" spans="2:6" ht="15" thickBot="1" x14ac:dyDescent="0.35">
      <c r="B15" s="6" t="s">
        <v>4</v>
      </c>
      <c r="C15" s="7">
        <v>1517487335</v>
      </c>
      <c r="D15" s="8" t="s">
        <v>279</v>
      </c>
    </row>
    <row r="19" spans="2:3" x14ac:dyDescent="0.3">
      <c r="B19" s="18" t="s">
        <v>278</v>
      </c>
      <c r="C19" s="18"/>
    </row>
    <row r="20" spans="2:3" x14ac:dyDescent="0.3">
      <c r="B20" t="s">
        <v>1</v>
      </c>
      <c r="C20" t="s">
        <v>4</v>
      </c>
    </row>
    <row r="21" spans="2:3" x14ac:dyDescent="0.3">
      <c r="B21" t="s">
        <v>275</v>
      </c>
      <c r="C21">
        <v>0</v>
      </c>
    </row>
    <row r="22" spans="2:3" x14ac:dyDescent="0.3">
      <c r="B22" t="s">
        <v>276</v>
      </c>
      <c r="C22">
        <v>21776.44</v>
      </c>
    </row>
    <row r="23" spans="2:3" x14ac:dyDescent="0.3">
      <c r="B23" t="s">
        <v>277</v>
      </c>
      <c r="C23">
        <v>4.3339999999999997E-2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2:H22"/>
  <sheetViews>
    <sheetView zoomScale="85" zoomScaleNormal="85" workbookViewId="0">
      <selection activeCell="C2" sqref="C2:C3"/>
    </sheetView>
  </sheetViews>
  <sheetFormatPr defaultColWidth="19" defaultRowHeight="14.4" x14ac:dyDescent="0.3"/>
  <cols>
    <col min="1" max="1" width="3.5546875" customWidth="1"/>
    <col min="8" max="8" width="66.88671875" bestFit="1" customWidth="1"/>
  </cols>
  <sheetData>
    <row r="2" spans="2:6" x14ac:dyDescent="0.3">
      <c r="B2" s="1" t="s">
        <v>47</v>
      </c>
      <c r="C2" s="2" t="s">
        <v>25</v>
      </c>
    </row>
    <row r="3" spans="2:6" x14ac:dyDescent="0.3">
      <c r="B3" s="1" t="s">
        <v>48</v>
      </c>
      <c r="C3" s="2" t="s">
        <v>26</v>
      </c>
    </row>
    <row r="5" spans="2:6" ht="15" thickBot="1" x14ac:dyDescent="0.35">
      <c r="B5" s="18" t="s">
        <v>23</v>
      </c>
      <c r="C5" s="19"/>
      <c r="D5" s="19"/>
      <c r="E5" s="19"/>
      <c r="F5" s="19"/>
    </row>
    <row r="6" spans="2:6" x14ac:dyDescent="0.3">
      <c r="B6" s="27" t="s">
        <v>14</v>
      </c>
      <c r="C6" s="28" t="s">
        <v>15</v>
      </c>
      <c r="D6" s="28" t="s">
        <v>16</v>
      </c>
      <c r="E6" s="28" t="s">
        <v>17</v>
      </c>
      <c r="F6" s="29" t="s">
        <v>18</v>
      </c>
    </row>
    <row r="7" spans="2:6" x14ac:dyDescent="0.3">
      <c r="B7" s="17">
        <v>1</v>
      </c>
      <c r="C7" s="15" t="s">
        <v>19</v>
      </c>
      <c r="D7" s="15" t="s">
        <v>49</v>
      </c>
      <c r="E7" s="15" t="b">
        <v>1</v>
      </c>
      <c r="F7" s="16" t="s">
        <v>22</v>
      </c>
    </row>
    <row r="8" spans="2:6" x14ac:dyDescent="0.3">
      <c r="B8" s="17">
        <v>1</v>
      </c>
      <c r="C8" s="15" t="s">
        <v>19</v>
      </c>
      <c r="D8" s="15" t="s">
        <v>50</v>
      </c>
      <c r="E8" s="15"/>
      <c r="F8" s="16" t="s">
        <v>22</v>
      </c>
    </row>
    <row r="9" spans="2:6" x14ac:dyDescent="0.3">
      <c r="B9" s="17">
        <v>1</v>
      </c>
      <c r="C9" s="15" t="s">
        <v>19</v>
      </c>
      <c r="D9" s="15" t="s">
        <v>4</v>
      </c>
      <c r="E9" s="15">
        <v>3</v>
      </c>
      <c r="F9" s="16" t="s">
        <v>21</v>
      </c>
    </row>
    <row r="10" spans="2:6" x14ac:dyDescent="0.3">
      <c r="B10" s="17">
        <v>2</v>
      </c>
      <c r="C10" s="15" t="s">
        <v>4</v>
      </c>
      <c r="D10" s="15" t="s">
        <v>51</v>
      </c>
      <c r="E10" s="15">
        <v>4.7E-7</v>
      </c>
      <c r="F10" s="16" t="s">
        <v>22</v>
      </c>
    </row>
    <row r="11" spans="2:6" x14ac:dyDescent="0.3">
      <c r="B11" s="21">
        <v>2</v>
      </c>
      <c r="C11" s="22" t="s">
        <v>4</v>
      </c>
      <c r="D11" s="22" t="s">
        <v>52</v>
      </c>
      <c r="E11" s="22">
        <v>4.7999999999999996E-7</v>
      </c>
      <c r="F11" s="23" t="s">
        <v>22</v>
      </c>
    </row>
    <row r="12" spans="2:6" ht="15" thickBot="1" x14ac:dyDescent="0.35">
      <c r="B12" s="6">
        <v>2</v>
      </c>
      <c r="C12" s="7" t="s">
        <v>4</v>
      </c>
      <c r="D12" s="7" t="s">
        <v>53</v>
      </c>
      <c r="E12" s="7">
        <v>4.7999999999999996E-7</v>
      </c>
      <c r="F12" s="8" t="s">
        <v>22</v>
      </c>
    </row>
    <row r="15" spans="2:6" ht="15" thickBot="1" x14ac:dyDescent="0.35">
      <c r="B15" s="18" t="s">
        <v>4</v>
      </c>
      <c r="C15" s="19"/>
      <c r="D15" s="19"/>
      <c r="E15" s="19"/>
    </row>
    <row r="16" spans="2:6" x14ac:dyDescent="0.3">
      <c r="B16" s="27" t="s">
        <v>1</v>
      </c>
      <c r="C16" s="28" t="s">
        <v>51</v>
      </c>
      <c r="D16" s="28" t="s">
        <v>52</v>
      </c>
      <c r="E16" s="29" t="s">
        <v>53</v>
      </c>
    </row>
    <row r="17" spans="2:8" ht="15" thickBot="1" x14ac:dyDescent="0.35">
      <c r="B17" s="6" t="s">
        <v>4</v>
      </c>
      <c r="C17" s="7">
        <v>4.7E-7</v>
      </c>
      <c r="D17" s="7">
        <v>4.7999999999999996E-7</v>
      </c>
      <c r="E17" s="8">
        <v>4.7999999999999996E-7</v>
      </c>
    </row>
    <row r="21" spans="2:8" x14ac:dyDescent="0.3">
      <c r="B21" s="18" t="s">
        <v>60</v>
      </c>
      <c r="C21" s="18"/>
      <c r="D21" s="18"/>
    </row>
    <row r="22" spans="2:8" x14ac:dyDescent="0.3">
      <c r="B22" t="s">
        <v>1</v>
      </c>
      <c r="C22" t="s">
        <v>6</v>
      </c>
      <c r="D22" t="s">
        <v>54</v>
      </c>
      <c r="E22" t="s">
        <v>56</v>
      </c>
      <c r="F22" t="s">
        <v>57</v>
      </c>
      <c r="G22" t="s">
        <v>58</v>
      </c>
      <c r="H22" t="s">
        <v>59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59A93-ED94-4ABF-8E0F-40C13BC9B03E}">
  <sheetPr codeName="Blad5"/>
  <dimension ref="B2:F20"/>
  <sheetViews>
    <sheetView zoomScale="85" zoomScaleNormal="85" workbookViewId="0">
      <selection activeCell="B10" sqref="B10"/>
    </sheetView>
  </sheetViews>
  <sheetFormatPr defaultRowHeight="14.4" x14ac:dyDescent="0.3"/>
  <cols>
    <col min="2" max="2" width="22" customWidth="1"/>
    <col min="3" max="3" width="12.5546875" customWidth="1"/>
    <col min="4" max="4" width="25.33203125" customWidth="1"/>
    <col min="5" max="5" width="24.5546875" customWidth="1"/>
    <col min="6" max="7" width="7" bestFit="1" customWidth="1"/>
    <col min="8" max="8" width="8.109375" bestFit="1" customWidth="1"/>
    <col min="9" max="9" width="7.44140625" bestFit="1" customWidth="1"/>
    <col min="10" max="10" width="9.88671875" bestFit="1" customWidth="1"/>
    <col min="11" max="11" width="5.88671875" bestFit="1" customWidth="1"/>
    <col min="12" max="12" width="9.77734375" bestFit="1" customWidth="1"/>
    <col min="13" max="13" width="10.77734375" bestFit="1" customWidth="1"/>
  </cols>
  <sheetData>
    <row r="2" spans="2:6" x14ac:dyDescent="0.3">
      <c r="B2" s="1" t="s">
        <v>73</v>
      </c>
      <c r="C2" s="2" t="s">
        <v>25</v>
      </c>
    </row>
    <row r="3" spans="2:6" x14ac:dyDescent="0.3">
      <c r="B3" s="1" t="s">
        <v>74</v>
      </c>
      <c r="C3" s="2" t="s">
        <v>26</v>
      </c>
    </row>
    <row r="5" spans="2:6" ht="15" thickBot="1" x14ac:dyDescent="0.35">
      <c r="B5" s="18" t="s">
        <v>23</v>
      </c>
      <c r="C5" s="19"/>
      <c r="D5" s="19"/>
      <c r="E5" s="19"/>
      <c r="F5" s="19"/>
    </row>
    <row r="6" spans="2:6" x14ac:dyDescent="0.3">
      <c r="B6" s="9" t="s">
        <v>14</v>
      </c>
      <c r="C6" s="10" t="s">
        <v>15</v>
      </c>
      <c r="D6" s="10" t="s">
        <v>16</v>
      </c>
      <c r="E6" s="10" t="s">
        <v>17</v>
      </c>
      <c r="F6" s="11" t="s">
        <v>18</v>
      </c>
    </row>
    <row r="7" spans="2:6" ht="15" thickBot="1" x14ac:dyDescent="0.35">
      <c r="B7" s="12">
        <v>1</v>
      </c>
      <c r="C7" s="13" t="s">
        <v>19</v>
      </c>
      <c r="D7" s="13" t="s">
        <v>75</v>
      </c>
      <c r="E7" s="41">
        <v>1513850504147</v>
      </c>
      <c r="F7" s="14" t="s">
        <v>22</v>
      </c>
    </row>
    <row r="10" spans="2:6" ht="15" thickBot="1" x14ac:dyDescent="0.35">
      <c r="B10" s="18" t="s">
        <v>24</v>
      </c>
      <c r="D10" s="18" t="s">
        <v>76</v>
      </c>
      <c r="E10" s="18"/>
    </row>
    <row r="11" spans="2:6" x14ac:dyDescent="0.3">
      <c r="B11" s="38" t="s">
        <v>75</v>
      </c>
      <c r="D11" s="27" t="s">
        <v>83</v>
      </c>
      <c r="E11" s="29" t="s">
        <v>77</v>
      </c>
    </row>
    <row r="12" spans="2:6" ht="15" thickBot="1" x14ac:dyDescent="0.35">
      <c r="B12" s="39">
        <v>1513850504147</v>
      </c>
      <c r="D12" s="37">
        <v>1513854104300</v>
      </c>
      <c r="E12" s="40">
        <f>B12-D12</f>
        <v>-3600153</v>
      </c>
    </row>
    <row r="16" spans="2:6" x14ac:dyDescent="0.3">
      <c r="B16" s="18" t="s">
        <v>84</v>
      </c>
      <c r="C16" s="18"/>
      <c r="D16" s="18"/>
    </row>
    <row r="17" spans="2:6" x14ac:dyDescent="0.3">
      <c r="B17" t="s">
        <v>1</v>
      </c>
      <c r="C17" t="s">
        <v>6</v>
      </c>
      <c r="D17" t="s">
        <v>10</v>
      </c>
      <c r="E17" t="s">
        <v>79</v>
      </c>
      <c r="F17" t="s">
        <v>80</v>
      </c>
    </row>
    <row r="18" spans="2:6" x14ac:dyDescent="0.3">
      <c r="B18" t="s">
        <v>78</v>
      </c>
      <c r="C18">
        <v>1</v>
      </c>
      <c r="D18" t="s">
        <v>55</v>
      </c>
      <c r="E18">
        <v>0</v>
      </c>
      <c r="F18">
        <v>0</v>
      </c>
    </row>
    <row r="19" spans="2:6" x14ac:dyDescent="0.3">
      <c r="B19" t="s">
        <v>78</v>
      </c>
      <c r="C19">
        <v>2</v>
      </c>
      <c r="D19" t="s">
        <v>81</v>
      </c>
      <c r="E19">
        <v>0</v>
      </c>
      <c r="F19">
        <v>0</v>
      </c>
    </row>
    <row r="20" spans="2:6" x14ac:dyDescent="0.3">
      <c r="B20" t="s">
        <v>78</v>
      </c>
      <c r="C20">
        <v>3</v>
      </c>
      <c r="D20" t="s">
        <v>82</v>
      </c>
      <c r="E20">
        <v>0</v>
      </c>
      <c r="F20"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830C4-97F4-4626-80F1-1D77F1B97A99}">
  <sheetPr codeName="Blad1"/>
  <dimension ref="B2:M27"/>
  <sheetViews>
    <sheetView zoomScale="85" zoomScaleNormal="85" workbookViewId="0">
      <selection activeCell="B25" sqref="B25"/>
    </sheetView>
  </sheetViews>
  <sheetFormatPr defaultRowHeight="14.4" x14ac:dyDescent="0.3"/>
  <cols>
    <col min="2" max="2" width="17.44140625" bestFit="1" customWidth="1"/>
    <col min="3" max="3" width="18.21875" bestFit="1" customWidth="1"/>
    <col min="4" max="5" width="17.109375" customWidth="1"/>
    <col min="6" max="6" width="20.21875" customWidth="1"/>
    <col min="8" max="8" width="9.5546875" customWidth="1"/>
    <col min="11" max="11" width="14.33203125" customWidth="1"/>
    <col min="13" max="13" width="10.21875" customWidth="1"/>
  </cols>
  <sheetData>
    <row r="2" spans="2:6" x14ac:dyDescent="0.3">
      <c r="B2" s="1" t="s">
        <v>61</v>
      </c>
      <c r="C2" s="2" t="s">
        <v>25</v>
      </c>
    </row>
    <row r="3" spans="2:6" x14ac:dyDescent="0.3">
      <c r="B3" s="1" t="s">
        <v>62</v>
      </c>
      <c r="C3" s="2" t="s">
        <v>26</v>
      </c>
    </row>
    <row r="5" spans="2:6" ht="15" thickBot="1" x14ac:dyDescent="0.35">
      <c r="B5" s="18" t="s">
        <v>23</v>
      </c>
      <c r="C5" s="19"/>
      <c r="D5" s="19"/>
    </row>
    <row r="6" spans="2:6" x14ac:dyDescent="0.3">
      <c r="B6" s="9" t="s">
        <v>14</v>
      </c>
      <c r="C6" s="10" t="s">
        <v>15</v>
      </c>
      <c r="D6" s="10" t="s">
        <v>16</v>
      </c>
      <c r="E6" s="4" t="s">
        <v>17</v>
      </c>
      <c r="F6" s="5" t="s">
        <v>18</v>
      </c>
    </row>
    <row r="7" spans="2:6" x14ac:dyDescent="0.3">
      <c r="B7" s="21">
        <v>1</v>
      </c>
      <c r="C7" s="22" t="s">
        <v>19</v>
      </c>
      <c r="D7" s="22" t="s">
        <v>85</v>
      </c>
      <c r="E7" s="22">
        <v>1</v>
      </c>
      <c r="F7" s="23" t="s">
        <v>21</v>
      </c>
    </row>
    <row r="8" spans="2:6" x14ac:dyDescent="0.3">
      <c r="B8" s="21">
        <v>2</v>
      </c>
      <c r="C8" s="22" t="s">
        <v>85</v>
      </c>
      <c r="D8" s="22">
        <v>1</v>
      </c>
      <c r="E8" s="22">
        <v>2</v>
      </c>
      <c r="F8" s="23" t="s">
        <v>21</v>
      </c>
    </row>
    <row r="9" spans="2:6" x14ac:dyDescent="0.3">
      <c r="B9" s="21">
        <v>3</v>
      </c>
      <c r="C9" s="22">
        <v>1</v>
      </c>
      <c r="D9" s="22">
        <v>1</v>
      </c>
      <c r="E9" s="22">
        <v>4.9996770000000003E-2</v>
      </c>
      <c r="F9" s="23" t="s">
        <v>22</v>
      </c>
    </row>
    <row r="10" spans="2:6" x14ac:dyDescent="0.3">
      <c r="B10" s="21">
        <v>3</v>
      </c>
      <c r="C10" s="22">
        <v>1</v>
      </c>
      <c r="D10" s="22">
        <v>2</v>
      </c>
      <c r="E10" s="22">
        <v>4.9949746700000004</v>
      </c>
      <c r="F10" s="23" t="s">
        <v>22</v>
      </c>
    </row>
    <row r="11" spans="2:6" x14ac:dyDescent="0.3">
      <c r="B11" s="21">
        <v>1</v>
      </c>
      <c r="C11" s="22" t="s">
        <v>19</v>
      </c>
      <c r="D11" s="22" t="s">
        <v>86</v>
      </c>
      <c r="E11" s="22">
        <v>1</v>
      </c>
      <c r="F11" s="23" t="s">
        <v>21</v>
      </c>
    </row>
    <row r="12" spans="2:6" x14ac:dyDescent="0.3">
      <c r="B12" s="21">
        <v>2</v>
      </c>
      <c r="C12" s="22" t="s">
        <v>86</v>
      </c>
      <c r="D12" s="22">
        <v>1</v>
      </c>
      <c r="E12" s="22">
        <v>2</v>
      </c>
      <c r="F12" s="23" t="s">
        <v>21</v>
      </c>
    </row>
    <row r="13" spans="2:6" x14ac:dyDescent="0.3">
      <c r="B13" s="21">
        <v>3</v>
      </c>
      <c r="C13" s="22">
        <v>1</v>
      </c>
      <c r="D13" s="22">
        <v>1</v>
      </c>
      <c r="E13" s="22">
        <v>4.9885029999999997E-2</v>
      </c>
      <c r="F13" s="23" t="s">
        <v>22</v>
      </c>
    </row>
    <row r="14" spans="2:6" x14ac:dyDescent="0.3">
      <c r="B14" s="21">
        <v>3</v>
      </c>
      <c r="C14" s="22">
        <v>1</v>
      </c>
      <c r="D14" s="22">
        <v>2</v>
      </c>
      <c r="E14" s="22">
        <v>26.324120059999998</v>
      </c>
      <c r="F14" s="23" t="s">
        <v>22</v>
      </c>
    </row>
    <row r="15" spans="2:6" x14ac:dyDescent="0.3">
      <c r="B15" s="21">
        <v>1</v>
      </c>
      <c r="C15" s="22" t="s">
        <v>19</v>
      </c>
      <c r="D15" s="22" t="s">
        <v>87</v>
      </c>
      <c r="E15" s="22">
        <v>0</v>
      </c>
      <c r="F15" s="23" t="s">
        <v>22</v>
      </c>
    </row>
    <row r="16" spans="2:6" ht="15" thickBot="1" x14ac:dyDescent="0.35">
      <c r="B16" s="6">
        <v>1</v>
      </c>
      <c r="C16" s="7" t="s">
        <v>19</v>
      </c>
      <c r="D16" s="7" t="s">
        <v>88</v>
      </c>
      <c r="E16" s="7">
        <v>459077833</v>
      </c>
      <c r="F16" s="8" t="s">
        <v>22</v>
      </c>
    </row>
    <row r="19" spans="2:13" ht="15" thickBot="1" x14ac:dyDescent="0.35">
      <c r="B19" s="18" t="s">
        <v>24</v>
      </c>
      <c r="C19" s="18"/>
      <c r="D19" s="18"/>
    </row>
    <row r="20" spans="2:13" x14ac:dyDescent="0.3">
      <c r="B20" s="3" t="s">
        <v>1</v>
      </c>
      <c r="C20" s="4" t="s">
        <v>6</v>
      </c>
      <c r="D20" s="4" t="s">
        <v>89</v>
      </c>
      <c r="E20" s="5" t="s">
        <v>90</v>
      </c>
    </row>
    <row r="21" spans="2:13" x14ac:dyDescent="0.3">
      <c r="B21" s="21" t="s">
        <v>85</v>
      </c>
      <c r="C21" s="22">
        <v>1</v>
      </c>
      <c r="D21" s="42">
        <v>4.9996770000000003E-2</v>
      </c>
      <c r="E21" s="43">
        <v>4.9949746700000004</v>
      </c>
    </row>
    <row r="22" spans="2:13" ht="15" thickBot="1" x14ac:dyDescent="0.35">
      <c r="B22" s="6" t="s">
        <v>86</v>
      </c>
      <c r="C22" s="7">
        <v>1</v>
      </c>
      <c r="D22" s="44">
        <v>4.9885029999999997E-2</v>
      </c>
      <c r="E22" s="45">
        <v>26.324120059999998</v>
      </c>
    </row>
    <row r="25" spans="2:13" x14ac:dyDescent="0.3">
      <c r="B25" s="18" t="s">
        <v>91</v>
      </c>
    </row>
    <row r="26" spans="2:13" x14ac:dyDescent="0.3">
      <c r="B26" t="s">
        <v>1</v>
      </c>
      <c r="C26" t="s">
        <v>6</v>
      </c>
      <c r="D26" t="s">
        <v>94</v>
      </c>
      <c r="E26" t="s">
        <v>95</v>
      </c>
      <c r="F26" s="46" t="s">
        <v>45</v>
      </c>
      <c r="G26" t="s">
        <v>41</v>
      </c>
      <c r="H26" t="s">
        <v>11</v>
      </c>
      <c r="I26" t="s">
        <v>96</v>
      </c>
      <c r="J26" t="s">
        <v>12</v>
      </c>
      <c r="K26" t="s">
        <v>97</v>
      </c>
      <c r="L26" t="s">
        <v>9</v>
      </c>
      <c r="M26" t="s">
        <v>98</v>
      </c>
    </row>
    <row r="27" spans="2:13" x14ac:dyDescent="0.3">
      <c r="B27" t="s">
        <v>92</v>
      </c>
      <c r="C27">
        <v>1</v>
      </c>
      <c r="D27">
        <v>999</v>
      </c>
      <c r="E27">
        <v>1888</v>
      </c>
      <c r="F27" s="46">
        <v>42710.601099537038</v>
      </c>
      <c r="G27">
        <v>0.1</v>
      </c>
      <c r="H27">
        <v>10</v>
      </c>
      <c r="I27">
        <v>1</v>
      </c>
      <c r="J27">
        <v>1.5E-3</v>
      </c>
      <c r="K27">
        <v>160</v>
      </c>
      <c r="L27" t="s">
        <v>35</v>
      </c>
      <c r="M27" t="s">
        <v>93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L38"/>
  <sheetViews>
    <sheetView zoomScale="85" zoomScaleNormal="85" workbookViewId="0">
      <selection activeCell="C2" sqref="C2:C3"/>
    </sheetView>
  </sheetViews>
  <sheetFormatPr defaultRowHeight="14.4" x14ac:dyDescent="0.3"/>
  <cols>
    <col min="1" max="1" width="4.109375" customWidth="1"/>
    <col min="2" max="2" width="19" customWidth="1"/>
    <col min="3" max="3" width="36.21875" customWidth="1"/>
    <col min="4" max="4" width="9" bestFit="1" customWidth="1"/>
    <col min="5" max="6" width="10.88671875" bestFit="1" customWidth="1"/>
    <col min="7" max="7" width="9" bestFit="1" customWidth="1"/>
    <col min="8" max="8" width="11" bestFit="1" customWidth="1"/>
    <col min="9" max="9" width="14.5546875" customWidth="1"/>
    <col min="10" max="10" width="11.88671875" customWidth="1"/>
    <col min="11" max="11" width="16.109375" bestFit="1" customWidth="1"/>
    <col min="12" max="12" width="14.6640625" bestFit="1" customWidth="1"/>
  </cols>
  <sheetData>
    <row r="1" spans="2:6" x14ac:dyDescent="0.3">
      <c r="B1" s="36" t="s">
        <v>70</v>
      </c>
    </row>
    <row r="2" spans="2:6" x14ac:dyDescent="0.3">
      <c r="B2" s="1" t="s">
        <v>65</v>
      </c>
      <c r="C2" s="2" t="s">
        <v>25</v>
      </c>
    </row>
    <row r="3" spans="2:6" x14ac:dyDescent="0.3">
      <c r="B3" s="1" t="s">
        <v>66</v>
      </c>
      <c r="C3" s="2" t="s">
        <v>26</v>
      </c>
    </row>
    <row r="5" spans="2:6" ht="15" thickBot="1" x14ac:dyDescent="0.35">
      <c r="B5" s="18" t="s">
        <v>23</v>
      </c>
      <c r="C5" s="19"/>
      <c r="D5" s="19"/>
      <c r="E5" s="19"/>
      <c r="F5" s="19"/>
    </row>
    <row r="6" spans="2:6" x14ac:dyDescent="0.3">
      <c r="B6" s="3" t="s">
        <v>14</v>
      </c>
      <c r="C6" s="4" t="s">
        <v>15</v>
      </c>
      <c r="D6" s="4" t="s">
        <v>16</v>
      </c>
      <c r="E6" s="4" t="s">
        <v>17</v>
      </c>
      <c r="F6" s="5" t="s">
        <v>18</v>
      </c>
    </row>
    <row r="7" spans="2:6" x14ac:dyDescent="0.3">
      <c r="B7" s="21">
        <v>1</v>
      </c>
      <c r="C7" s="22" t="s">
        <v>19</v>
      </c>
      <c r="D7" s="22" t="s">
        <v>27</v>
      </c>
      <c r="E7" s="22">
        <v>9</v>
      </c>
      <c r="F7" s="23" t="s">
        <v>21</v>
      </c>
    </row>
    <row r="8" spans="2:6" x14ac:dyDescent="0.3">
      <c r="B8" s="21">
        <v>2</v>
      </c>
      <c r="C8" s="22" t="s">
        <v>27</v>
      </c>
      <c r="D8" s="22" t="s">
        <v>28</v>
      </c>
      <c r="E8" s="25">
        <v>2449.6142100000002</v>
      </c>
      <c r="F8" s="23" t="s">
        <v>22</v>
      </c>
    </row>
    <row r="9" spans="2:6" x14ac:dyDescent="0.3">
      <c r="B9" s="21">
        <v>2</v>
      </c>
      <c r="C9" s="22" t="s">
        <v>27</v>
      </c>
      <c r="D9" s="22" t="s">
        <v>29</v>
      </c>
      <c r="E9" s="25">
        <v>2330</v>
      </c>
      <c r="F9" s="23" t="s">
        <v>22</v>
      </c>
    </row>
    <row r="10" spans="2:6" x14ac:dyDescent="0.3">
      <c r="B10" s="21">
        <v>2</v>
      </c>
      <c r="C10" s="22" t="s">
        <v>27</v>
      </c>
      <c r="D10" s="22" t="s">
        <v>30</v>
      </c>
      <c r="E10" s="25">
        <v>2389.8071049999999</v>
      </c>
      <c r="F10" s="23" t="s">
        <v>22</v>
      </c>
    </row>
    <row r="11" spans="2:6" x14ac:dyDescent="0.3">
      <c r="B11" s="21">
        <v>2</v>
      </c>
      <c r="C11" s="22" t="s">
        <v>27</v>
      </c>
      <c r="D11" s="22" t="s">
        <v>31</v>
      </c>
      <c r="E11" s="25">
        <v>453713.54395000002</v>
      </c>
      <c r="F11" s="23" t="s">
        <v>22</v>
      </c>
    </row>
    <row r="12" spans="2:6" x14ac:dyDescent="0.3">
      <c r="B12" s="21">
        <v>2</v>
      </c>
      <c r="C12" s="22" t="s">
        <v>27</v>
      </c>
      <c r="D12" s="22" t="s">
        <v>32</v>
      </c>
      <c r="E12" s="25">
        <v>190.49576999999999</v>
      </c>
      <c r="F12" s="23" t="s">
        <v>22</v>
      </c>
    </row>
    <row r="13" spans="2:6" x14ac:dyDescent="0.3">
      <c r="B13" s="21">
        <v>2</v>
      </c>
      <c r="C13" s="22" t="s">
        <v>27</v>
      </c>
      <c r="D13" s="22" t="s">
        <v>33</v>
      </c>
      <c r="E13" s="25">
        <v>2430.0666799999999</v>
      </c>
      <c r="F13" s="23" t="s">
        <v>22</v>
      </c>
    </row>
    <row r="14" spans="2:6" x14ac:dyDescent="0.3">
      <c r="B14" s="21">
        <v>2</v>
      </c>
      <c r="C14" s="22" t="s">
        <v>27</v>
      </c>
      <c r="D14" s="22" t="s">
        <v>34</v>
      </c>
      <c r="E14" s="25">
        <v>2447.9999899999998</v>
      </c>
      <c r="F14" s="23" t="s">
        <v>22</v>
      </c>
    </row>
    <row r="15" spans="2:6" x14ac:dyDescent="0.3">
      <c r="B15" s="21">
        <v>2</v>
      </c>
      <c r="C15" s="22" t="s">
        <v>27</v>
      </c>
      <c r="D15" s="22" t="s">
        <v>35</v>
      </c>
      <c r="E15" s="25">
        <v>2430.1</v>
      </c>
      <c r="F15" s="23" t="s">
        <v>22</v>
      </c>
    </row>
    <row r="16" spans="2:6" x14ac:dyDescent="0.3">
      <c r="B16" s="21">
        <v>2</v>
      </c>
      <c r="C16" s="22" t="s">
        <v>27</v>
      </c>
      <c r="D16" s="22" t="s">
        <v>36</v>
      </c>
      <c r="E16" s="22">
        <v>1497027712</v>
      </c>
      <c r="F16" s="23" t="s">
        <v>22</v>
      </c>
    </row>
    <row r="17" spans="2:12" x14ac:dyDescent="0.3">
      <c r="B17" s="21">
        <v>1</v>
      </c>
      <c r="C17" s="22" t="s">
        <v>19</v>
      </c>
      <c r="D17" s="22" t="s">
        <v>37</v>
      </c>
      <c r="E17" s="22">
        <v>9</v>
      </c>
      <c r="F17" s="23" t="s">
        <v>21</v>
      </c>
    </row>
    <row r="18" spans="2:12" x14ac:dyDescent="0.3">
      <c r="B18" s="21">
        <v>2</v>
      </c>
      <c r="C18" s="22" t="s">
        <v>37</v>
      </c>
      <c r="D18" s="22" t="s">
        <v>28</v>
      </c>
      <c r="E18" s="25">
        <v>239</v>
      </c>
      <c r="F18" s="23" t="s">
        <v>22</v>
      </c>
    </row>
    <row r="19" spans="2:12" x14ac:dyDescent="0.3">
      <c r="B19" s="21">
        <v>2</v>
      </c>
      <c r="C19" s="22" t="s">
        <v>37</v>
      </c>
      <c r="D19" s="22" t="s">
        <v>29</v>
      </c>
      <c r="E19" s="25">
        <v>217.56179</v>
      </c>
      <c r="F19" s="23" t="s">
        <v>22</v>
      </c>
    </row>
    <row r="20" spans="2:12" x14ac:dyDescent="0.3">
      <c r="B20" s="21">
        <v>2</v>
      </c>
      <c r="C20" s="22" t="s">
        <v>37</v>
      </c>
      <c r="D20" s="22" t="s">
        <v>30</v>
      </c>
      <c r="E20" s="25">
        <v>228.28089499999999</v>
      </c>
      <c r="F20" s="23" t="s">
        <v>22</v>
      </c>
    </row>
    <row r="21" spans="2:12" x14ac:dyDescent="0.3">
      <c r="B21" s="21">
        <v>2</v>
      </c>
      <c r="C21" s="22" t="s">
        <v>37</v>
      </c>
      <c r="D21" s="22" t="s">
        <v>31</v>
      </c>
      <c r="E21" s="25">
        <v>96744.346619999997</v>
      </c>
      <c r="F21" s="23" t="s">
        <v>22</v>
      </c>
    </row>
    <row r="22" spans="2:12" x14ac:dyDescent="0.3">
      <c r="B22" s="21">
        <v>2</v>
      </c>
      <c r="C22" s="22" t="s">
        <v>37</v>
      </c>
      <c r="D22" s="22" t="s">
        <v>32</v>
      </c>
      <c r="E22" s="25">
        <v>427.27568000000002</v>
      </c>
      <c r="F22" s="23" t="s">
        <v>22</v>
      </c>
    </row>
    <row r="23" spans="2:12" x14ac:dyDescent="0.3">
      <c r="B23" s="21">
        <v>2</v>
      </c>
      <c r="C23" s="22" t="s">
        <v>37</v>
      </c>
      <c r="D23" s="22" t="s">
        <v>33</v>
      </c>
      <c r="E23" s="25">
        <v>237.83841000000001</v>
      </c>
      <c r="F23" s="23" t="s">
        <v>22</v>
      </c>
    </row>
    <row r="24" spans="2:12" x14ac:dyDescent="0.3">
      <c r="B24" s="21">
        <v>2</v>
      </c>
      <c r="C24" s="22" t="s">
        <v>37</v>
      </c>
      <c r="D24" s="22" t="s">
        <v>34</v>
      </c>
      <c r="E24" s="25">
        <v>237.54508000000001</v>
      </c>
      <c r="F24" s="23" t="s">
        <v>22</v>
      </c>
    </row>
    <row r="25" spans="2:12" x14ac:dyDescent="0.3">
      <c r="B25" s="21">
        <v>2</v>
      </c>
      <c r="C25" s="22" t="s">
        <v>37</v>
      </c>
      <c r="D25" s="22" t="s">
        <v>35</v>
      </c>
      <c r="E25" s="25">
        <v>235.65606</v>
      </c>
      <c r="F25" s="23" t="s">
        <v>22</v>
      </c>
    </row>
    <row r="26" spans="2:12" ht="15" thickBot="1" x14ac:dyDescent="0.35">
      <c r="B26" s="6">
        <v>2</v>
      </c>
      <c r="C26" s="7" t="s">
        <v>37</v>
      </c>
      <c r="D26" s="7" t="s">
        <v>36</v>
      </c>
      <c r="E26" s="7">
        <v>1497027712</v>
      </c>
      <c r="F26" s="8" t="s">
        <v>22</v>
      </c>
    </row>
    <row r="29" spans="2:12" ht="15" thickBot="1" x14ac:dyDescent="0.35">
      <c r="B29" s="18" t="s">
        <v>24</v>
      </c>
      <c r="C29" s="19"/>
      <c r="D29" s="19"/>
    </row>
    <row r="30" spans="2:12" x14ac:dyDescent="0.3">
      <c r="B30" s="27" t="s">
        <v>1</v>
      </c>
      <c r="C30" s="28" t="s">
        <v>28</v>
      </c>
      <c r="D30" s="28" t="s">
        <v>29</v>
      </c>
      <c r="E30" s="28" t="s">
        <v>30</v>
      </c>
      <c r="F30" s="28" t="s">
        <v>31</v>
      </c>
      <c r="G30" s="28" t="s">
        <v>32</v>
      </c>
      <c r="H30" s="28" t="s">
        <v>33</v>
      </c>
      <c r="I30" s="28" t="s">
        <v>34</v>
      </c>
      <c r="J30" s="28" t="s">
        <v>35</v>
      </c>
      <c r="K30" s="29" t="s">
        <v>36</v>
      </c>
      <c r="L30" s="32" t="s">
        <v>38</v>
      </c>
    </row>
    <row r="31" spans="2:12" x14ac:dyDescent="0.3">
      <c r="B31" s="21" t="s">
        <v>27</v>
      </c>
      <c r="C31" s="25">
        <v>2449.6142100000002</v>
      </c>
      <c r="D31" s="25">
        <v>2330</v>
      </c>
      <c r="E31" s="25">
        <v>2389.8071049999999</v>
      </c>
      <c r="F31" s="25">
        <v>453713.54395000002</v>
      </c>
      <c r="G31" s="25">
        <v>190.49576999999999</v>
      </c>
      <c r="H31" s="25">
        <v>2430.0666799999999</v>
      </c>
      <c r="I31" s="25">
        <v>2447.9999899999998</v>
      </c>
      <c r="J31" s="25">
        <v>2430.1</v>
      </c>
      <c r="K31" s="30">
        <v>1497027712</v>
      </c>
      <c r="L31" s="33">
        <f>UnixTimeToDate(K31)</f>
        <v>42895.709629629629</v>
      </c>
    </row>
    <row r="32" spans="2:12" ht="15" thickBot="1" x14ac:dyDescent="0.35">
      <c r="B32" s="6" t="s">
        <v>37</v>
      </c>
      <c r="C32" s="26">
        <v>239</v>
      </c>
      <c r="D32" s="26">
        <v>217.56179</v>
      </c>
      <c r="E32" s="26">
        <v>228.28089499999999</v>
      </c>
      <c r="F32" s="26">
        <v>96744.346619999997</v>
      </c>
      <c r="G32" s="26">
        <v>427.27568000000002</v>
      </c>
      <c r="H32" s="26">
        <v>237.83841000000001</v>
      </c>
      <c r="I32" s="26">
        <v>237.54508000000001</v>
      </c>
      <c r="J32" s="26">
        <v>235.65606</v>
      </c>
      <c r="K32" s="31">
        <v>1497027712</v>
      </c>
      <c r="L32" s="34">
        <f>UnixTimeToDate(K32)</f>
        <v>42895.709629629629</v>
      </c>
    </row>
    <row r="35" spans="2:11" x14ac:dyDescent="0.3">
      <c r="B35" s="18" t="s">
        <v>46</v>
      </c>
      <c r="C35" s="18"/>
      <c r="D35" s="18"/>
    </row>
    <row r="36" spans="2:11" x14ac:dyDescent="0.3">
      <c r="B36" t="s">
        <v>1</v>
      </c>
      <c r="C36" t="s">
        <v>6</v>
      </c>
      <c r="D36" t="s">
        <v>40</v>
      </c>
      <c r="E36" t="s">
        <v>9</v>
      </c>
      <c r="F36" t="s">
        <v>11</v>
      </c>
      <c r="G36" t="s">
        <v>41</v>
      </c>
      <c r="H36" t="s">
        <v>42</v>
      </c>
      <c r="I36" t="s">
        <v>43</v>
      </c>
      <c r="J36" t="s">
        <v>44</v>
      </c>
      <c r="K36" t="s">
        <v>45</v>
      </c>
    </row>
    <row r="37" spans="2:11" x14ac:dyDescent="0.3">
      <c r="B37" t="s">
        <v>39</v>
      </c>
      <c r="C37">
        <v>101929500</v>
      </c>
      <c r="D37" t="s">
        <v>27</v>
      </c>
      <c r="E37" t="s">
        <v>35</v>
      </c>
      <c r="F37" s="24">
        <v>7.0000000000000007E-2</v>
      </c>
      <c r="G37" s="24">
        <v>1509.03</v>
      </c>
      <c r="H37">
        <v>1766540000</v>
      </c>
      <c r="I37">
        <v>1</v>
      </c>
      <c r="J37">
        <v>1494653192</v>
      </c>
      <c r="K37" s="20">
        <f>UnixTimeToDate(Tbl_WEXnz_Trades[[#This Row],[timestamp]])</f>
        <v>42868.226759259262</v>
      </c>
    </row>
    <row r="38" spans="2:11" x14ac:dyDescent="0.3">
      <c r="B38" t="s">
        <v>39</v>
      </c>
      <c r="C38">
        <v>101929500</v>
      </c>
      <c r="D38" t="s">
        <v>27</v>
      </c>
      <c r="E38" t="s">
        <v>35</v>
      </c>
      <c r="F38" s="24">
        <v>0.06</v>
      </c>
      <c r="G38" s="24">
        <v>1509.03</v>
      </c>
      <c r="H38">
        <v>1766540000</v>
      </c>
      <c r="I38">
        <v>1</v>
      </c>
      <c r="J38">
        <v>1494653191</v>
      </c>
      <c r="K38" s="20">
        <f>UnixTimeToDate(Tbl_WEXnz_Trades[[#This Row],[timestamp]])</f>
        <v>42868.226747685185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757D3-57E5-4ACD-B7E9-C7094A2D9CA5}">
  <sheetPr codeName="Blad7"/>
  <dimension ref="B2:R41"/>
  <sheetViews>
    <sheetView topLeftCell="A31" zoomScale="85" zoomScaleNormal="85" workbookViewId="0">
      <selection activeCell="D46" sqref="D46"/>
    </sheetView>
  </sheetViews>
  <sheetFormatPr defaultRowHeight="14.4" x14ac:dyDescent="0.3"/>
  <cols>
    <col min="2" max="2" width="19.21875" customWidth="1"/>
    <col min="3" max="3" width="18.21875" bestFit="1" customWidth="1"/>
    <col min="4" max="4" width="13" customWidth="1"/>
    <col min="5" max="5" width="16.109375" customWidth="1"/>
    <col min="6" max="6" width="12.44140625" customWidth="1"/>
    <col min="7" max="7" width="14.5546875" customWidth="1"/>
    <col min="8" max="8" width="9.44140625" customWidth="1"/>
    <col min="9" max="9" width="16.88671875" customWidth="1"/>
  </cols>
  <sheetData>
    <row r="2" spans="2:6" x14ac:dyDescent="0.3">
      <c r="B2" s="1" t="s">
        <v>217</v>
      </c>
      <c r="C2" s="2" t="s">
        <v>25</v>
      </c>
    </row>
    <row r="3" spans="2:6" x14ac:dyDescent="0.3">
      <c r="B3" s="1" t="s">
        <v>218</v>
      </c>
      <c r="C3" s="2" t="s">
        <v>26</v>
      </c>
    </row>
    <row r="5" spans="2:6" ht="15" thickBot="1" x14ac:dyDescent="0.35">
      <c r="B5" s="18" t="s">
        <v>23</v>
      </c>
      <c r="C5" s="19"/>
      <c r="D5" s="19"/>
      <c r="E5" s="19"/>
      <c r="F5" s="19"/>
    </row>
    <row r="6" spans="2:6" x14ac:dyDescent="0.3">
      <c r="B6" s="27" t="s">
        <v>14</v>
      </c>
      <c r="C6" s="28" t="s">
        <v>15</v>
      </c>
      <c r="D6" s="28" t="s">
        <v>16</v>
      </c>
      <c r="E6" s="28" t="s">
        <v>17</v>
      </c>
      <c r="F6" s="29" t="s">
        <v>18</v>
      </c>
    </row>
    <row r="7" spans="2:6" x14ac:dyDescent="0.3">
      <c r="B7" s="17">
        <v>1</v>
      </c>
      <c r="C7" s="15" t="s">
        <v>19</v>
      </c>
      <c r="D7" s="15" t="s">
        <v>49</v>
      </c>
      <c r="E7" s="15" t="b">
        <v>1</v>
      </c>
      <c r="F7" s="16" t="s">
        <v>22</v>
      </c>
    </row>
    <row r="8" spans="2:6" x14ac:dyDescent="0.3">
      <c r="B8" s="17">
        <v>1</v>
      </c>
      <c r="C8" s="15" t="s">
        <v>19</v>
      </c>
      <c r="D8" s="15" t="s">
        <v>252</v>
      </c>
      <c r="E8" s="15" t="s">
        <v>253</v>
      </c>
      <c r="F8" s="16" t="s">
        <v>22</v>
      </c>
    </row>
    <row r="9" spans="2:6" x14ac:dyDescent="0.3">
      <c r="B9" s="17">
        <v>1</v>
      </c>
      <c r="C9" s="15" t="s">
        <v>19</v>
      </c>
      <c r="D9" s="15" t="s">
        <v>254</v>
      </c>
      <c r="E9" s="15" t="s">
        <v>255</v>
      </c>
      <c r="F9" s="16" t="s">
        <v>22</v>
      </c>
    </row>
    <row r="10" spans="2:6" x14ac:dyDescent="0.3">
      <c r="B10" s="17">
        <v>1</v>
      </c>
      <c r="C10" s="15" t="s">
        <v>19</v>
      </c>
      <c r="D10" s="15" t="s">
        <v>44</v>
      </c>
      <c r="E10" s="15">
        <v>1518012366149</v>
      </c>
      <c r="F10" s="16" t="s">
        <v>22</v>
      </c>
    </row>
    <row r="11" spans="2:6" x14ac:dyDescent="0.3">
      <c r="B11" s="21">
        <v>1</v>
      </c>
      <c r="C11" s="22" t="s">
        <v>19</v>
      </c>
      <c r="D11" s="22" t="s">
        <v>256</v>
      </c>
      <c r="E11" s="22">
        <v>16</v>
      </c>
      <c r="F11" s="23" t="s">
        <v>21</v>
      </c>
    </row>
    <row r="12" spans="2:6" x14ac:dyDescent="0.3">
      <c r="B12" s="21">
        <v>2</v>
      </c>
      <c r="C12" s="22" t="s">
        <v>256</v>
      </c>
      <c r="D12" s="22" t="s">
        <v>257</v>
      </c>
      <c r="E12" s="22" t="s">
        <v>258</v>
      </c>
      <c r="F12" s="23" t="s">
        <v>22</v>
      </c>
    </row>
    <row r="13" spans="2:6" x14ac:dyDescent="0.3">
      <c r="B13" s="21">
        <v>2</v>
      </c>
      <c r="C13" s="22" t="s">
        <v>256</v>
      </c>
      <c r="D13" s="22" t="s">
        <v>259</v>
      </c>
      <c r="E13" s="22" t="b">
        <v>1</v>
      </c>
      <c r="F13" s="23" t="s">
        <v>22</v>
      </c>
    </row>
    <row r="14" spans="2:6" x14ac:dyDescent="0.3">
      <c r="B14" s="21">
        <v>2</v>
      </c>
      <c r="C14" s="22" t="s">
        <v>256</v>
      </c>
      <c r="D14" s="22" t="s">
        <v>260</v>
      </c>
      <c r="E14" s="22" t="s">
        <v>261</v>
      </c>
      <c r="F14" s="23" t="s">
        <v>22</v>
      </c>
    </row>
    <row r="15" spans="2:6" x14ac:dyDescent="0.3">
      <c r="B15" s="21">
        <v>2</v>
      </c>
      <c r="C15" s="22" t="s">
        <v>256</v>
      </c>
      <c r="D15" s="22" t="s">
        <v>262</v>
      </c>
      <c r="E15" s="22">
        <v>7.5396999999999997E-4</v>
      </c>
      <c r="F15" s="23" t="s">
        <v>22</v>
      </c>
    </row>
    <row r="16" spans="2:6" x14ac:dyDescent="0.3">
      <c r="B16" s="21">
        <v>2</v>
      </c>
      <c r="C16" s="22" t="s">
        <v>256</v>
      </c>
      <c r="D16" s="22" t="s">
        <v>34</v>
      </c>
      <c r="E16" s="22">
        <v>7.5033999999999995E-4</v>
      </c>
      <c r="F16" s="23" t="s">
        <v>22</v>
      </c>
    </row>
    <row r="17" spans="2:18" x14ac:dyDescent="0.3">
      <c r="B17" s="21">
        <v>2</v>
      </c>
      <c r="C17" s="22" t="s">
        <v>256</v>
      </c>
      <c r="D17" s="22" t="s">
        <v>35</v>
      </c>
      <c r="E17" s="22">
        <v>7.5394999999999998E-4</v>
      </c>
      <c r="F17" s="23" t="s">
        <v>22</v>
      </c>
    </row>
    <row r="18" spans="2:18" x14ac:dyDescent="0.3">
      <c r="B18" s="21">
        <v>2</v>
      </c>
      <c r="C18" s="22" t="s">
        <v>256</v>
      </c>
      <c r="D18" s="22" t="s">
        <v>263</v>
      </c>
      <c r="E18" s="22">
        <v>1.506E-5</v>
      </c>
      <c r="F18" s="23" t="s">
        <v>22</v>
      </c>
    </row>
    <row r="19" spans="2:18" x14ac:dyDescent="0.3">
      <c r="B19" s="21">
        <v>2</v>
      </c>
      <c r="C19" s="22" t="s">
        <v>256</v>
      </c>
      <c r="D19" s="22" t="s">
        <v>264</v>
      </c>
      <c r="E19" s="22" t="s">
        <v>55</v>
      </c>
      <c r="F19" s="23" t="s">
        <v>22</v>
      </c>
    </row>
    <row r="20" spans="2:18" x14ac:dyDescent="0.3">
      <c r="B20" s="21">
        <v>2</v>
      </c>
      <c r="C20" s="22" t="s">
        <v>256</v>
      </c>
      <c r="D20" s="22" t="s">
        <v>265</v>
      </c>
      <c r="E20" s="22">
        <v>0</v>
      </c>
      <c r="F20" s="23" t="s">
        <v>22</v>
      </c>
    </row>
    <row r="21" spans="2:18" x14ac:dyDescent="0.3">
      <c r="B21" s="21">
        <v>2</v>
      </c>
      <c r="C21" s="22" t="s">
        <v>256</v>
      </c>
      <c r="D21" s="22" t="s">
        <v>266</v>
      </c>
      <c r="E21" s="22">
        <v>1E-3</v>
      </c>
      <c r="F21" s="23" t="s">
        <v>22</v>
      </c>
    </row>
    <row r="22" spans="2:18" x14ac:dyDescent="0.3">
      <c r="B22" s="21">
        <v>2</v>
      </c>
      <c r="C22" s="22" t="s">
        <v>256</v>
      </c>
      <c r="D22" s="22" t="s">
        <v>267</v>
      </c>
      <c r="E22" s="22">
        <v>218.00558649000001</v>
      </c>
      <c r="F22" s="23" t="s">
        <v>22</v>
      </c>
    </row>
    <row r="23" spans="2:18" x14ac:dyDescent="0.3">
      <c r="B23" s="21">
        <v>2</v>
      </c>
      <c r="C23" s="22" t="s">
        <v>256</v>
      </c>
      <c r="D23" s="22" t="s">
        <v>28</v>
      </c>
      <c r="E23" s="22">
        <v>7.9500000000000003E-4</v>
      </c>
      <c r="F23" s="23" t="s">
        <v>22</v>
      </c>
    </row>
    <row r="24" spans="2:18" x14ac:dyDescent="0.3">
      <c r="B24" s="21">
        <v>2</v>
      </c>
      <c r="C24" s="22" t="s">
        <v>256</v>
      </c>
      <c r="D24" s="22" t="s">
        <v>268</v>
      </c>
      <c r="E24" s="22">
        <v>1518012364000</v>
      </c>
      <c r="F24" s="23" t="s">
        <v>22</v>
      </c>
    </row>
    <row r="25" spans="2:18" x14ac:dyDescent="0.3">
      <c r="B25" s="21">
        <v>2</v>
      </c>
      <c r="C25" s="22" t="s">
        <v>256</v>
      </c>
      <c r="D25" s="22" t="s">
        <v>31</v>
      </c>
      <c r="E25" s="22">
        <v>304503.28619999997</v>
      </c>
      <c r="F25" s="23" t="s">
        <v>22</v>
      </c>
    </row>
    <row r="26" spans="2:18" x14ac:dyDescent="0.3">
      <c r="B26" s="21">
        <v>2</v>
      </c>
      <c r="C26" s="22" t="s">
        <v>256</v>
      </c>
      <c r="D26" s="22" t="s">
        <v>29</v>
      </c>
      <c r="E26" s="22">
        <v>6.3000000000000003E-4</v>
      </c>
      <c r="F26" s="23" t="s">
        <v>22</v>
      </c>
    </row>
    <row r="27" spans="2:18" ht="15" thickBot="1" x14ac:dyDescent="0.35">
      <c r="B27" s="6">
        <v>2</v>
      </c>
      <c r="C27" s="7" t="s">
        <v>256</v>
      </c>
      <c r="D27" s="7" t="s">
        <v>269</v>
      </c>
      <c r="E27" s="7">
        <v>2.0400000000000001E-2</v>
      </c>
      <c r="F27" s="8" t="s">
        <v>22</v>
      </c>
    </row>
    <row r="31" spans="2:18" ht="15" thickBot="1" x14ac:dyDescent="0.35">
      <c r="B31" s="18" t="s">
        <v>24</v>
      </c>
      <c r="C31" s="18"/>
      <c r="D31" s="18"/>
    </row>
    <row r="32" spans="2:18" x14ac:dyDescent="0.3">
      <c r="B32" s="27" t="s">
        <v>1</v>
      </c>
      <c r="C32" s="28" t="s">
        <v>257</v>
      </c>
      <c r="D32" s="28" t="s">
        <v>259</v>
      </c>
      <c r="E32" s="28" t="s">
        <v>260</v>
      </c>
      <c r="F32" s="28" t="s">
        <v>262</v>
      </c>
      <c r="G32" s="28" t="s">
        <v>34</v>
      </c>
      <c r="H32" s="28" t="s">
        <v>35</v>
      </c>
      <c r="I32" s="28" t="s">
        <v>263</v>
      </c>
      <c r="J32" s="28" t="s">
        <v>264</v>
      </c>
      <c r="K32" s="28" t="s">
        <v>265</v>
      </c>
      <c r="L32" s="28" t="s">
        <v>266</v>
      </c>
      <c r="M32" s="28" t="s">
        <v>267</v>
      </c>
      <c r="N32" s="28" t="s">
        <v>28</v>
      </c>
      <c r="O32" s="28" t="s">
        <v>268</v>
      </c>
      <c r="P32" s="28" t="s">
        <v>31</v>
      </c>
      <c r="Q32" s="28" t="s">
        <v>29</v>
      </c>
      <c r="R32" s="29" t="s">
        <v>269</v>
      </c>
    </row>
    <row r="33" spans="2:18" ht="15" thickBot="1" x14ac:dyDescent="0.35">
      <c r="B33" s="6" t="s">
        <v>256</v>
      </c>
      <c r="C33" s="7" t="s">
        <v>258</v>
      </c>
      <c r="D33" s="44" t="b">
        <v>1</v>
      </c>
      <c r="E33" s="44" t="s">
        <v>261</v>
      </c>
      <c r="F33" s="7">
        <v>7.5396999999999997E-4</v>
      </c>
      <c r="G33" s="7">
        <v>7.5033999999999995E-4</v>
      </c>
      <c r="H33" s="7">
        <v>7.5394999999999998E-4</v>
      </c>
      <c r="I33" s="7">
        <v>1.506E-5</v>
      </c>
      <c r="J33" s="7" t="s">
        <v>55</v>
      </c>
      <c r="K33" s="7">
        <v>0</v>
      </c>
      <c r="L33" s="7">
        <v>1E-3</v>
      </c>
      <c r="M33" s="7">
        <v>218.00558649000001</v>
      </c>
      <c r="N33" s="7">
        <v>7.9500000000000003E-4</v>
      </c>
      <c r="O33" s="7">
        <v>1518012364000</v>
      </c>
      <c r="P33" s="7">
        <v>304503.28619999997</v>
      </c>
      <c r="Q33" s="7">
        <v>6.3000000000000003E-4</v>
      </c>
      <c r="R33" s="8">
        <v>2.0400000000000001E-2</v>
      </c>
    </row>
    <row r="37" spans="2:18" x14ac:dyDescent="0.3">
      <c r="B37" s="18" t="s">
        <v>270</v>
      </c>
    </row>
    <row r="38" spans="2:18" x14ac:dyDescent="0.3">
      <c r="B38" t="s">
        <v>1</v>
      </c>
      <c r="C38" t="s">
        <v>6</v>
      </c>
      <c r="D38" t="s">
        <v>7</v>
      </c>
      <c r="E38" t="s">
        <v>257</v>
      </c>
      <c r="F38" t="s">
        <v>271</v>
      </c>
      <c r="G38" t="s">
        <v>272</v>
      </c>
      <c r="H38" t="s">
        <v>13</v>
      </c>
      <c r="I38" t="s">
        <v>273</v>
      </c>
    </row>
    <row r="39" spans="2:18" x14ac:dyDescent="0.3">
      <c r="B39" t="s">
        <v>256</v>
      </c>
      <c r="C39" t="s">
        <v>274</v>
      </c>
      <c r="D39">
        <v>20</v>
      </c>
      <c r="E39" t="s">
        <v>282</v>
      </c>
      <c r="F39">
        <v>10</v>
      </c>
      <c r="G39">
        <v>0</v>
      </c>
      <c r="H39">
        <v>10</v>
      </c>
      <c r="I39">
        <v>0</v>
      </c>
    </row>
    <row r="40" spans="2:18" x14ac:dyDescent="0.3">
      <c r="B40" t="s">
        <v>256</v>
      </c>
      <c r="C40" t="s">
        <v>274</v>
      </c>
      <c r="D40">
        <v>1</v>
      </c>
      <c r="E40" t="s">
        <v>258</v>
      </c>
      <c r="F40">
        <v>10</v>
      </c>
      <c r="G40">
        <v>0</v>
      </c>
      <c r="H40">
        <v>10</v>
      </c>
      <c r="I40">
        <v>0</v>
      </c>
    </row>
    <row r="41" spans="2:18" x14ac:dyDescent="0.3">
      <c r="B41" t="s">
        <v>256</v>
      </c>
      <c r="C41" t="s">
        <v>274</v>
      </c>
      <c r="D41">
        <v>20</v>
      </c>
      <c r="E41" t="s">
        <v>281</v>
      </c>
      <c r="F41">
        <v>10</v>
      </c>
      <c r="G41">
        <v>0</v>
      </c>
      <c r="H41">
        <v>10</v>
      </c>
      <c r="I41">
        <v>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59EFF-19D4-4230-BF10-E969A30FCC88}">
  <sheetPr codeName="Blad4"/>
  <dimension ref="B2:R36"/>
  <sheetViews>
    <sheetView zoomScale="70" zoomScaleNormal="70" workbookViewId="0">
      <selection activeCell="B21" sqref="B21"/>
    </sheetView>
  </sheetViews>
  <sheetFormatPr defaultRowHeight="14.4" x14ac:dyDescent="0.3"/>
  <cols>
    <col min="2" max="2" width="52.33203125" bestFit="1" customWidth="1"/>
    <col min="3" max="3" width="67.109375" bestFit="1" customWidth="1"/>
    <col min="4" max="4" width="16.21875" bestFit="1" customWidth="1"/>
    <col min="5" max="5" width="13.44140625" bestFit="1" customWidth="1"/>
    <col min="6" max="7" width="12.33203125" bestFit="1" customWidth="1"/>
    <col min="8" max="8" width="14.33203125" customWidth="1"/>
    <col min="9" max="9" width="15.5546875" customWidth="1"/>
    <col min="10" max="10" width="18.77734375" customWidth="1"/>
    <col min="11" max="11" width="13.44140625" bestFit="1" customWidth="1"/>
    <col min="12" max="12" width="15.44140625" bestFit="1" customWidth="1"/>
    <col min="13" max="13" width="255.77734375" bestFit="1" customWidth="1"/>
    <col min="14" max="14" width="124.88671875" bestFit="1" customWidth="1"/>
    <col min="15" max="15" width="11.21875" bestFit="1" customWidth="1"/>
    <col min="16" max="16" width="13.44140625" bestFit="1" customWidth="1"/>
    <col min="17" max="18" width="16.21875" bestFit="1" customWidth="1"/>
  </cols>
  <sheetData>
    <row r="2" spans="2:6" x14ac:dyDescent="0.3">
      <c r="B2" s="1" t="s">
        <v>71</v>
      </c>
      <c r="C2" s="2" t="s">
        <v>25</v>
      </c>
    </row>
    <row r="3" spans="2:6" x14ac:dyDescent="0.3">
      <c r="B3" s="1" t="s">
        <v>72</v>
      </c>
      <c r="C3" s="2" t="s">
        <v>26</v>
      </c>
    </row>
    <row r="5" spans="2:6" ht="15" thickBot="1" x14ac:dyDescent="0.35">
      <c r="B5" s="18" t="s">
        <v>23</v>
      </c>
      <c r="C5" s="19"/>
      <c r="D5" s="19"/>
      <c r="E5" s="19"/>
      <c r="F5" s="19"/>
    </row>
    <row r="6" spans="2:6" x14ac:dyDescent="0.3">
      <c r="B6" s="3" t="s">
        <v>14</v>
      </c>
      <c r="C6" s="4" t="s">
        <v>15</v>
      </c>
      <c r="D6" s="4" t="s">
        <v>16</v>
      </c>
      <c r="E6" s="4" t="s">
        <v>17</v>
      </c>
      <c r="F6" s="5" t="s">
        <v>18</v>
      </c>
    </row>
    <row r="7" spans="2:6" x14ac:dyDescent="0.3">
      <c r="B7" s="21">
        <v>1</v>
      </c>
      <c r="C7" s="22" t="s">
        <v>19</v>
      </c>
      <c r="D7" s="22" t="s">
        <v>99</v>
      </c>
      <c r="E7" s="22" t="b">
        <v>1</v>
      </c>
      <c r="F7" s="23" t="s">
        <v>22</v>
      </c>
    </row>
    <row r="8" spans="2:6" x14ac:dyDescent="0.3">
      <c r="B8" s="21">
        <v>1</v>
      </c>
      <c r="C8" s="22" t="s">
        <v>19</v>
      </c>
      <c r="D8" s="22" t="s">
        <v>100</v>
      </c>
      <c r="E8" s="22"/>
      <c r="F8" s="23" t="s">
        <v>22</v>
      </c>
    </row>
    <row r="9" spans="2:6" x14ac:dyDescent="0.3">
      <c r="B9" s="21">
        <v>1</v>
      </c>
      <c r="C9" s="22" t="s">
        <v>19</v>
      </c>
      <c r="D9" s="22" t="s">
        <v>101</v>
      </c>
      <c r="E9" s="22">
        <v>16</v>
      </c>
      <c r="F9" s="23" t="s">
        <v>21</v>
      </c>
    </row>
    <row r="10" spans="2:6" x14ac:dyDescent="0.3">
      <c r="B10" s="21">
        <v>2</v>
      </c>
      <c r="C10" s="22" t="s">
        <v>101</v>
      </c>
      <c r="D10" s="22" t="s">
        <v>102</v>
      </c>
      <c r="E10" s="22">
        <v>100</v>
      </c>
      <c r="F10" s="23" t="s">
        <v>22</v>
      </c>
    </row>
    <row r="11" spans="2:6" x14ac:dyDescent="0.3">
      <c r="B11" s="21">
        <v>2</v>
      </c>
      <c r="C11" s="22" t="s">
        <v>101</v>
      </c>
      <c r="D11" s="22" t="s">
        <v>103</v>
      </c>
      <c r="E11" s="22" t="s">
        <v>104</v>
      </c>
      <c r="F11" s="23" t="s">
        <v>22</v>
      </c>
    </row>
    <row r="12" spans="2:6" x14ac:dyDescent="0.3">
      <c r="B12" s="21">
        <v>2</v>
      </c>
      <c r="C12" s="22" t="s">
        <v>101</v>
      </c>
      <c r="D12" s="22" t="s">
        <v>105</v>
      </c>
      <c r="E12" s="22">
        <v>3.8600000000000003E-6</v>
      </c>
      <c r="F12" s="23" t="s">
        <v>22</v>
      </c>
    </row>
    <row r="13" spans="2:6" x14ac:dyDescent="0.3">
      <c r="B13" s="21">
        <v>2</v>
      </c>
      <c r="C13" s="22" t="s">
        <v>101</v>
      </c>
      <c r="D13" s="22" t="s">
        <v>106</v>
      </c>
      <c r="E13" s="22">
        <v>3.7799999999999998E-6</v>
      </c>
      <c r="F13" s="23" t="s">
        <v>22</v>
      </c>
    </row>
    <row r="14" spans="2:6" x14ac:dyDescent="0.3">
      <c r="B14" s="21">
        <v>2</v>
      </c>
      <c r="C14" s="22" t="s">
        <v>101</v>
      </c>
      <c r="D14" s="22" t="s">
        <v>107</v>
      </c>
      <c r="E14" s="22">
        <v>3.6600000000000001E-6</v>
      </c>
      <c r="F14" s="23" t="s">
        <v>22</v>
      </c>
    </row>
    <row r="15" spans="2:6" x14ac:dyDescent="0.3">
      <c r="B15" s="21">
        <v>2</v>
      </c>
      <c r="C15" s="22" t="s">
        <v>101</v>
      </c>
      <c r="D15" s="22" t="s">
        <v>108</v>
      </c>
      <c r="E15" s="22">
        <v>4.6999999999999999E-6</v>
      </c>
      <c r="F15" s="23" t="s">
        <v>22</v>
      </c>
    </row>
    <row r="16" spans="2:6" x14ac:dyDescent="0.3">
      <c r="B16" s="21">
        <v>2</v>
      </c>
      <c r="C16" s="22" t="s">
        <v>101</v>
      </c>
      <c r="D16" s="22" t="s">
        <v>109</v>
      </c>
      <c r="E16" s="22">
        <v>9524025.7817439195</v>
      </c>
      <c r="F16" s="23" t="s">
        <v>22</v>
      </c>
    </row>
    <row r="17" spans="2:18" x14ac:dyDescent="0.3">
      <c r="B17" s="21">
        <v>2</v>
      </c>
      <c r="C17" s="22" t="s">
        <v>101</v>
      </c>
      <c r="D17" s="22" t="s">
        <v>110</v>
      </c>
      <c r="E17" s="22">
        <v>3.8700000000000002E-6</v>
      </c>
      <c r="F17" s="23" t="s">
        <v>22</v>
      </c>
    </row>
    <row r="18" spans="2:18" x14ac:dyDescent="0.3">
      <c r="B18" s="21">
        <v>2</v>
      </c>
      <c r="C18" s="22" t="s">
        <v>101</v>
      </c>
      <c r="D18" s="22" t="s">
        <v>111</v>
      </c>
      <c r="E18" s="22">
        <v>82909792.148581594</v>
      </c>
      <c r="F18" s="23" t="s">
        <v>22</v>
      </c>
    </row>
    <row r="19" spans="2:18" x14ac:dyDescent="0.3">
      <c r="B19" s="21">
        <v>2</v>
      </c>
      <c r="C19" s="22" t="s">
        <v>101</v>
      </c>
      <c r="D19" s="22" t="s">
        <v>112</v>
      </c>
      <c r="E19" s="22">
        <v>31725991.532281999</v>
      </c>
      <c r="F19" s="23" t="s">
        <v>22</v>
      </c>
    </row>
    <row r="20" spans="2:18" x14ac:dyDescent="0.3">
      <c r="B20" s="21">
        <v>2</v>
      </c>
      <c r="C20" s="22" t="s">
        <v>101</v>
      </c>
      <c r="D20" s="22" t="s">
        <v>113</v>
      </c>
      <c r="E20" s="22">
        <v>-16.77</v>
      </c>
      <c r="F20" s="23" t="s">
        <v>22</v>
      </c>
    </row>
    <row r="21" spans="2:18" x14ac:dyDescent="0.3">
      <c r="B21" s="21">
        <v>2</v>
      </c>
      <c r="C21" s="22" t="s">
        <v>101</v>
      </c>
      <c r="D21" s="22" t="s">
        <v>114</v>
      </c>
      <c r="E21" s="22">
        <v>4.6500000000000004E-6</v>
      </c>
      <c r="F21" s="23" t="s">
        <v>22</v>
      </c>
    </row>
    <row r="22" spans="2:18" x14ac:dyDescent="0.3">
      <c r="B22" s="21">
        <v>2</v>
      </c>
      <c r="C22" s="22" t="s">
        <v>101</v>
      </c>
      <c r="D22" s="22" t="s">
        <v>115</v>
      </c>
      <c r="E22" s="22">
        <v>3.8700000000000002E-6</v>
      </c>
      <c r="F22" s="23" t="s">
        <v>22</v>
      </c>
    </row>
    <row r="23" spans="2:18" x14ac:dyDescent="0.3">
      <c r="B23" s="21">
        <v>2</v>
      </c>
      <c r="C23" s="22" t="s">
        <v>101</v>
      </c>
      <c r="D23" s="22" t="s">
        <v>116</v>
      </c>
      <c r="E23" s="22">
        <v>40.124879909999997</v>
      </c>
      <c r="F23" s="23" t="s">
        <v>22</v>
      </c>
    </row>
    <row r="24" spans="2:18" x14ac:dyDescent="0.3">
      <c r="B24" s="21">
        <v>2</v>
      </c>
      <c r="C24" s="22" t="s">
        <v>101</v>
      </c>
      <c r="D24" s="22" t="s">
        <v>117</v>
      </c>
      <c r="E24" s="22">
        <v>50.745885250000001</v>
      </c>
      <c r="F24" s="23" t="s">
        <v>22</v>
      </c>
    </row>
    <row r="25" spans="2:18" x14ac:dyDescent="0.3">
      <c r="B25" s="21">
        <v>2</v>
      </c>
      <c r="C25" s="22" t="s">
        <v>101</v>
      </c>
      <c r="D25" s="22" t="s">
        <v>118</v>
      </c>
      <c r="E25" s="22">
        <v>512228520.15282297</v>
      </c>
      <c r="F25" s="23" t="s">
        <v>22</v>
      </c>
    </row>
    <row r="26" spans="2:18" ht="15" thickBot="1" x14ac:dyDescent="0.35">
      <c r="B26" s="6">
        <v>1</v>
      </c>
      <c r="C26" s="7" t="s">
        <v>19</v>
      </c>
      <c r="D26" s="7" t="s">
        <v>119</v>
      </c>
      <c r="E26" s="7"/>
      <c r="F26" s="8" t="s">
        <v>22</v>
      </c>
    </row>
    <row r="29" spans="2:18" ht="15" thickBot="1" x14ac:dyDescent="0.35">
      <c r="B29" s="18" t="s">
        <v>24</v>
      </c>
      <c r="C29" s="19"/>
      <c r="D29" s="19"/>
    </row>
    <row r="30" spans="2:18" x14ac:dyDescent="0.3">
      <c r="B30" s="27" t="s">
        <v>1</v>
      </c>
      <c r="C30" s="28" t="s">
        <v>102</v>
      </c>
      <c r="D30" s="28" t="s">
        <v>103</v>
      </c>
      <c r="E30" s="28" t="s">
        <v>105</v>
      </c>
      <c r="F30" s="4" t="s">
        <v>106</v>
      </c>
      <c r="G30" s="4" t="s">
        <v>107</v>
      </c>
      <c r="H30" s="4" t="s">
        <v>108</v>
      </c>
      <c r="I30" s="4" t="s">
        <v>109</v>
      </c>
      <c r="J30" s="4" t="s">
        <v>110</v>
      </c>
      <c r="K30" s="4" t="s">
        <v>111</v>
      </c>
      <c r="L30" s="4" t="s">
        <v>112</v>
      </c>
      <c r="M30" s="4" t="s">
        <v>113</v>
      </c>
      <c r="N30" s="4" t="s">
        <v>114</v>
      </c>
      <c r="O30" s="4" t="s">
        <v>115</v>
      </c>
      <c r="P30" s="4" t="s">
        <v>116</v>
      </c>
      <c r="Q30" s="4" t="s">
        <v>117</v>
      </c>
      <c r="R30" s="5" t="s">
        <v>118</v>
      </c>
    </row>
    <row r="31" spans="2:18" ht="15" thickBot="1" x14ac:dyDescent="0.35">
      <c r="B31" s="6" t="s">
        <v>101</v>
      </c>
      <c r="C31" s="7">
        <v>100</v>
      </c>
      <c r="D31" s="7" t="s">
        <v>104</v>
      </c>
      <c r="E31" s="7">
        <v>3.8600000000000003E-6</v>
      </c>
      <c r="F31" s="7">
        <v>3.7799999999999998E-6</v>
      </c>
      <c r="G31" s="7">
        <v>3.6600000000000001E-6</v>
      </c>
      <c r="H31" s="7">
        <v>4.6999999999999999E-6</v>
      </c>
      <c r="I31" s="7">
        <v>9524025.7817439195</v>
      </c>
      <c r="J31" s="7">
        <v>3.8700000000000002E-6</v>
      </c>
      <c r="K31" s="7">
        <v>82909792.148581594</v>
      </c>
      <c r="L31" s="7">
        <v>31725991.532281999</v>
      </c>
      <c r="M31" s="7">
        <v>-16.77</v>
      </c>
      <c r="N31" s="7">
        <v>4.6500000000000004E-6</v>
      </c>
      <c r="O31" s="7">
        <v>3.8700000000000002E-6</v>
      </c>
      <c r="P31" s="7">
        <v>40.124879909999997</v>
      </c>
      <c r="Q31" s="7">
        <v>50.745885250000001</v>
      </c>
      <c r="R31" s="8">
        <v>512228520.15282297</v>
      </c>
    </row>
    <row r="34" spans="2:14" x14ac:dyDescent="0.3">
      <c r="B34" s="18" t="s">
        <v>130</v>
      </c>
      <c r="C34" s="18"/>
      <c r="D34" s="18"/>
    </row>
    <row r="35" spans="2:14" x14ac:dyDescent="0.3">
      <c r="B35" t="s">
        <v>1</v>
      </c>
      <c r="C35" t="s">
        <v>6</v>
      </c>
      <c r="D35" t="s">
        <v>120</v>
      </c>
      <c r="E35" t="s">
        <v>121</v>
      </c>
      <c r="F35" t="s">
        <v>122</v>
      </c>
      <c r="G35" t="s">
        <v>57</v>
      </c>
      <c r="H35" t="s">
        <v>123</v>
      </c>
      <c r="I35" t="s">
        <v>124</v>
      </c>
      <c r="J35" t="s">
        <v>125</v>
      </c>
      <c r="K35" t="s">
        <v>126</v>
      </c>
      <c r="L35" t="s">
        <v>127</v>
      </c>
      <c r="M35" t="s">
        <v>128</v>
      </c>
      <c r="N35" t="s">
        <v>129</v>
      </c>
    </row>
    <row r="36" spans="2:14" x14ac:dyDescent="0.3">
      <c r="B36" t="b">
        <v>0</v>
      </c>
      <c r="C36" t="s">
        <v>131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80BF1-49FA-43C1-9BE0-3287482B174C}">
  <sheetPr codeName="Blad2"/>
  <dimension ref="B1:CF38"/>
  <sheetViews>
    <sheetView topLeftCell="A13" zoomScale="85" zoomScaleNormal="85" workbookViewId="0">
      <selection activeCell="C3" sqref="C3"/>
    </sheetView>
  </sheetViews>
  <sheetFormatPr defaultRowHeight="14.4" x14ac:dyDescent="0.3"/>
  <cols>
    <col min="1" max="1" width="4.88671875" customWidth="1"/>
    <col min="2" max="2" width="13.6640625" bestFit="1" customWidth="1"/>
    <col min="3" max="3" width="18.21875" bestFit="1" customWidth="1"/>
    <col min="5" max="5" width="14.109375" customWidth="1"/>
    <col min="11" max="11" width="20" customWidth="1"/>
    <col min="12" max="12" width="14.6640625" bestFit="1" customWidth="1"/>
    <col min="22" max="22" width="9.6640625" customWidth="1"/>
    <col min="84" max="84" width="10.77734375" customWidth="1"/>
  </cols>
  <sheetData>
    <row r="1" spans="2:6" x14ac:dyDescent="0.3">
      <c r="B1" s="35"/>
    </row>
    <row r="2" spans="2:6" x14ac:dyDescent="0.3">
      <c r="B2" s="1" t="s">
        <v>63</v>
      </c>
      <c r="C2" s="2" t="s">
        <v>25</v>
      </c>
    </row>
    <row r="3" spans="2:6" x14ac:dyDescent="0.3">
      <c r="B3" s="1" t="s">
        <v>64</v>
      </c>
      <c r="C3" s="2" t="s">
        <v>26</v>
      </c>
    </row>
    <row r="5" spans="2:6" ht="15" thickBot="1" x14ac:dyDescent="0.35">
      <c r="B5" s="18" t="s">
        <v>23</v>
      </c>
      <c r="C5" s="19"/>
      <c r="D5" s="19"/>
      <c r="E5" s="19"/>
      <c r="F5" s="19"/>
    </row>
    <row r="6" spans="2:6" x14ac:dyDescent="0.3">
      <c r="B6" s="3" t="s">
        <v>14</v>
      </c>
      <c r="C6" s="4" t="s">
        <v>15</v>
      </c>
      <c r="D6" s="4" t="s">
        <v>16</v>
      </c>
      <c r="E6" s="4" t="s">
        <v>17</v>
      </c>
      <c r="F6" s="5" t="s">
        <v>18</v>
      </c>
    </row>
    <row r="7" spans="2:6" x14ac:dyDescent="0.3">
      <c r="B7" s="21">
        <v>1</v>
      </c>
      <c r="C7" s="22" t="s">
        <v>19</v>
      </c>
      <c r="D7" s="22" t="s">
        <v>132</v>
      </c>
      <c r="E7" s="22">
        <v>9</v>
      </c>
      <c r="F7" s="23" t="s">
        <v>21</v>
      </c>
    </row>
    <row r="8" spans="2:6" x14ac:dyDescent="0.3">
      <c r="B8" s="21">
        <v>2</v>
      </c>
      <c r="C8" s="22" t="s">
        <v>132</v>
      </c>
      <c r="D8" s="22" t="s">
        <v>28</v>
      </c>
      <c r="E8" s="22">
        <v>9.9999000000000005E-2</v>
      </c>
      <c r="F8" s="23" t="s">
        <v>22</v>
      </c>
    </row>
    <row r="9" spans="2:6" x14ac:dyDescent="0.3">
      <c r="B9" s="21">
        <v>2</v>
      </c>
      <c r="C9" s="22" t="s">
        <v>132</v>
      </c>
      <c r="D9" s="22" t="s">
        <v>29</v>
      </c>
      <c r="E9" s="22">
        <v>9.3010209999999996E-2</v>
      </c>
      <c r="F9" s="23" t="s">
        <v>22</v>
      </c>
    </row>
    <row r="10" spans="2:6" x14ac:dyDescent="0.3">
      <c r="B10" s="21">
        <v>2</v>
      </c>
      <c r="C10" s="22" t="s">
        <v>132</v>
      </c>
      <c r="D10" s="22" t="s">
        <v>30</v>
      </c>
      <c r="E10" s="22">
        <v>9.6504604999999993E-2</v>
      </c>
      <c r="F10" s="23" t="s">
        <v>22</v>
      </c>
    </row>
    <row r="11" spans="2:6" x14ac:dyDescent="0.3">
      <c r="B11" s="21">
        <v>2</v>
      </c>
      <c r="C11" s="22" t="s">
        <v>132</v>
      </c>
      <c r="D11" s="22" t="s">
        <v>31</v>
      </c>
      <c r="E11" s="22">
        <v>284.69788614322698</v>
      </c>
      <c r="F11" s="23" t="s">
        <v>22</v>
      </c>
    </row>
    <row r="12" spans="2:6" x14ac:dyDescent="0.3">
      <c r="B12" s="21">
        <v>2</v>
      </c>
      <c r="C12" s="22" t="s">
        <v>132</v>
      </c>
      <c r="D12" s="22" t="s">
        <v>32</v>
      </c>
      <c r="E12" s="22">
        <v>2934.87185138</v>
      </c>
      <c r="F12" s="23" t="s">
        <v>22</v>
      </c>
    </row>
    <row r="13" spans="2:6" x14ac:dyDescent="0.3">
      <c r="B13" s="21">
        <v>2</v>
      </c>
      <c r="C13" s="22" t="s">
        <v>132</v>
      </c>
      <c r="D13" s="22" t="s">
        <v>33</v>
      </c>
      <c r="E13" s="22">
        <v>9.7617599999999999E-2</v>
      </c>
      <c r="F13" s="23" t="s">
        <v>22</v>
      </c>
    </row>
    <row r="14" spans="2:6" x14ac:dyDescent="0.3">
      <c r="B14" s="21">
        <v>2</v>
      </c>
      <c r="C14" s="22" t="s">
        <v>132</v>
      </c>
      <c r="D14" s="22" t="s">
        <v>34</v>
      </c>
      <c r="E14" s="22">
        <v>9.7509750000000006E-2</v>
      </c>
      <c r="F14" s="23" t="s">
        <v>22</v>
      </c>
    </row>
    <row r="15" spans="2:6" x14ac:dyDescent="0.3">
      <c r="B15" s="21">
        <v>2</v>
      </c>
      <c r="C15" s="22" t="s">
        <v>132</v>
      </c>
      <c r="D15" s="22" t="s">
        <v>35</v>
      </c>
      <c r="E15" s="22">
        <v>9.7725380000000001E-2</v>
      </c>
      <c r="F15" s="23" t="s">
        <v>22</v>
      </c>
    </row>
    <row r="16" spans="2:6" x14ac:dyDescent="0.3">
      <c r="B16" s="21">
        <v>2</v>
      </c>
      <c r="C16" s="22" t="s">
        <v>132</v>
      </c>
      <c r="D16" s="22" t="s">
        <v>36</v>
      </c>
      <c r="E16" s="22">
        <v>1515943312</v>
      </c>
      <c r="F16" s="23" t="s">
        <v>22</v>
      </c>
    </row>
    <row r="17" spans="2:12" x14ac:dyDescent="0.3">
      <c r="B17" s="21">
        <v>1</v>
      </c>
      <c r="C17" s="22" t="s">
        <v>19</v>
      </c>
      <c r="D17" s="22" t="s">
        <v>133</v>
      </c>
      <c r="E17" s="22">
        <v>9</v>
      </c>
      <c r="F17" s="23" t="s">
        <v>21</v>
      </c>
    </row>
    <row r="18" spans="2:12" x14ac:dyDescent="0.3">
      <c r="B18" s="21">
        <v>2</v>
      </c>
      <c r="C18" s="22" t="s">
        <v>133</v>
      </c>
      <c r="D18" s="22" t="s">
        <v>28</v>
      </c>
      <c r="E18" s="22">
        <v>4.8683E-4</v>
      </c>
      <c r="F18" s="23" t="s">
        <v>22</v>
      </c>
    </row>
    <row r="19" spans="2:12" x14ac:dyDescent="0.3">
      <c r="B19" s="21">
        <v>2</v>
      </c>
      <c r="C19" s="22" t="s">
        <v>133</v>
      </c>
      <c r="D19" s="22" t="s">
        <v>29</v>
      </c>
      <c r="E19" s="22">
        <v>3.6485000000000001E-4</v>
      </c>
      <c r="F19" s="23" t="s">
        <v>22</v>
      </c>
    </row>
    <row r="20" spans="2:12" x14ac:dyDescent="0.3">
      <c r="B20" s="21">
        <v>2</v>
      </c>
      <c r="C20" s="22" t="s">
        <v>133</v>
      </c>
      <c r="D20" s="22" t="s">
        <v>30</v>
      </c>
      <c r="E20" s="22">
        <v>4.2583999999999998E-4</v>
      </c>
      <c r="F20" s="23" t="s">
        <v>22</v>
      </c>
    </row>
    <row r="21" spans="2:12" x14ac:dyDescent="0.3">
      <c r="B21" s="21">
        <v>2</v>
      </c>
      <c r="C21" s="22" t="s">
        <v>133</v>
      </c>
      <c r="D21" s="22" t="s">
        <v>31</v>
      </c>
      <c r="E21" s="22">
        <v>21.699979709073698</v>
      </c>
      <c r="F21" s="23" t="s">
        <v>22</v>
      </c>
    </row>
    <row r="22" spans="2:12" x14ac:dyDescent="0.3">
      <c r="B22" s="21">
        <v>2</v>
      </c>
      <c r="C22" s="22" t="s">
        <v>133</v>
      </c>
      <c r="D22" s="22" t="s">
        <v>32</v>
      </c>
      <c r="E22" s="22">
        <v>52914.84811182</v>
      </c>
      <c r="F22" s="23" t="s">
        <v>22</v>
      </c>
    </row>
    <row r="23" spans="2:12" x14ac:dyDescent="0.3">
      <c r="B23" s="21">
        <v>2</v>
      </c>
      <c r="C23" s="22" t="s">
        <v>133</v>
      </c>
      <c r="D23" s="22" t="s">
        <v>33</v>
      </c>
      <c r="E23" s="22">
        <v>3.8959999999999998E-4</v>
      </c>
      <c r="F23" s="23" t="s">
        <v>22</v>
      </c>
    </row>
    <row r="24" spans="2:12" x14ac:dyDescent="0.3">
      <c r="B24" s="21">
        <v>2</v>
      </c>
      <c r="C24" s="22" t="s">
        <v>133</v>
      </c>
      <c r="D24" s="22" t="s">
        <v>34</v>
      </c>
      <c r="E24" s="22">
        <v>3.8787000000000001E-4</v>
      </c>
      <c r="F24" s="23" t="s">
        <v>22</v>
      </c>
    </row>
    <row r="25" spans="2:12" x14ac:dyDescent="0.3">
      <c r="B25" s="21">
        <v>2</v>
      </c>
      <c r="C25" s="22" t="s">
        <v>133</v>
      </c>
      <c r="D25" s="22" t="s">
        <v>35</v>
      </c>
      <c r="E25" s="22">
        <v>3.9127999999999998E-4</v>
      </c>
      <c r="F25" s="23" t="s">
        <v>22</v>
      </c>
    </row>
    <row r="26" spans="2:12" ht="15" thickBot="1" x14ac:dyDescent="0.35">
      <c r="B26" s="6">
        <v>2</v>
      </c>
      <c r="C26" s="7" t="s">
        <v>133</v>
      </c>
      <c r="D26" s="7" t="s">
        <v>36</v>
      </c>
      <c r="E26" s="7">
        <v>1515943312</v>
      </c>
      <c r="F26" s="8" t="s">
        <v>22</v>
      </c>
    </row>
    <row r="29" spans="2:12" ht="15" thickBot="1" x14ac:dyDescent="0.35">
      <c r="B29" s="18" t="s">
        <v>24</v>
      </c>
      <c r="C29" s="19"/>
      <c r="D29" s="19"/>
    </row>
    <row r="30" spans="2:12" x14ac:dyDescent="0.3">
      <c r="B30" s="27" t="s">
        <v>1</v>
      </c>
      <c r="C30" s="28" t="s">
        <v>28</v>
      </c>
      <c r="D30" s="28" t="s">
        <v>29</v>
      </c>
      <c r="E30" s="28" t="s">
        <v>30</v>
      </c>
      <c r="F30" s="28" t="s">
        <v>31</v>
      </c>
      <c r="G30" s="28" t="s">
        <v>32</v>
      </c>
      <c r="H30" s="28" t="s">
        <v>33</v>
      </c>
      <c r="I30" s="28" t="s">
        <v>34</v>
      </c>
      <c r="J30" s="28" t="s">
        <v>35</v>
      </c>
      <c r="K30" s="29" t="s">
        <v>36</v>
      </c>
      <c r="L30" s="32" t="s">
        <v>38</v>
      </c>
    </row>
    <row r="31" spans="2:12" x14ac:dyDescent="0.3">
      <c r="B31" s="21" t="s">
        <v>132</v>
      </c>
      <c r="C31" s="22">
        <v>9.9999000000000005E-2</v>
      </c>
      <c r="D31" s="22">
        <v>9.3010209999999996E-2</v>
      </c>
      <c r="E31" s="22">
        <v>9.6504604999999993E-2</v>
      </c>
      <c r="F31" s="22">
        <v>284.69788614322698</v>
      </c>
      <c r="G31" s="22">
        <v>2934.87185138</v>
      </c>
      <c r="H31" s="22">
        <v>9.7617599999999999E-2</v>
      </c>
      <c r="I31" s="22">
        <v>9.7509750000000006E-2</v>
      </c>
      <c r="J31" s="22">
        <v>9.7725380000000001E-2</v>
      </c>
      <c r="K31" s="23">
        <v>1515943312</v>
      </c>
      <c r="L31" s="33">
        <f>UnixTimeToDate(K31)</f>
        <v>43114.640185185184</v>
      </c>
    </row>
    <row r="32" spans="2:12" ht="15" thickBot="1" x14ac:dyDescent="0.35">
      <c r="B32" s="6" t="s">
        <v>133</v>
      </c>
      <c r="C32" s="7">
        <v>4.8683E-4</v>
      </c>
      <c r="D32" s="7">
        <v>3.6485000000000001E-4</v>
      </c>
      <c r="E32" s="7">
        <v>4.2583999999999998E-4</v>
      </c>
      <c r="F32" s="7">
        <v>21.699979709073698</v>
      </c>
      <c r="G32" s="7">
        <v>52914.84811182</v>
      </c>
      <c r="H32" s="7">
        <v>3.8959999999999998E-4</v>
      </c>
      <c r="I32" s="7">
        <v>3.8787000000000001E-4</v>
      </c>
      <c r="J32" s="7">
        <v>3.9127999999999998E-4</v>
      </c>
      <c r="K32" s="8">
        <v>1515943312</v>
      </c>
      <c r="L32" s="34">
        <f>UnixTimeToDate(K32)</f>
        <v>43114.640185185184</v>
      </c>
    </row>
    <row r="35" spans="2:84" x14ac:dyDescent="0.3">
      <c r="B35" s="18" t="s">
        <v>216</v>
      </c>
      <c r="C35" s="19"/>
      <c r="D35" s="19"/>
    </row>
    <row r="36" spans="2:84" x14ac:dyDescent="0.3">
      <c r="B36" t="s">
        <v>1</v>
      </c>
      <c r="C36" t="s">
        <v>6</v>
      </c>
      <c r="D36" t="s">
        <v>134</v>
      </c>
      <c r="E36" t="s">
        <v>135</v>
      </c>
      <c r="F36" t="s">
        <v>136</v>
      </c>
      <c r="G36" t="s">
        <v>137</v>
      </c>
      <c r="H36" t="s">
        <v>138</v>
      </c>
      <c r="I36" t="s">
        <v>139</v>
      </c>
      <c r="J36" t="s">
        <v>140</v>
      </c>
      <c r="K36" t="s">
        <v>141</v>
      </c>
      <c r="L36" t="s">
        <v>142</v>
      </c>
      <c r="M36" t="s">
        <v>143</v>
      </c>
      <c r="N36" t="s">
        <v>144</v>
      </c>
      <c r="O36" t="s">
        <v>145</v>
      </c>
      <c r="P36" t="s">
        <v>146</v>
      </c>
      <c r="Q36" t="s">
        <v>147</v>
      </c>
      <c r="R36" t="s">
        <v>148</v>
      </c>
      <c r="S36" t="s">
        <v>149</v>
      </c>
      <c r="T36" t="s">
        <v>150</v>
      </c>
      <c r="U36" t="s">
        <v>151</v>
      </c>
      <c r="V36" t="s">
        <v>152</v>
      </c>
      <c r="W36" t="s">
        <v>153</v>
      </c>
      <c r="X36" t="s">
        <v>154</v>
      </c>
      <c r="Y36" t="s">
        <v>155</v>
      </c>
      <c r="Z36" t="s">
        <v>8</v>
      </c>
      <c r="AA36" t="s">
        <v>156</v>
      </c>
      <c r="AB36" t="s">
        <v>157</v>
      </c>
      <c r="AC36" t="s">
        <v>158</v>
      </c>
      <c r="AD36" t="s">
        <v>159</v>
      </c>
      <c r="AE36" t="s">
        <v>160</v>
      </c>
      <c r="AF36" t="s">
        <v>161</v>
      </c>
      <c r="AG36" t="s">
        <v>162</v>
      </c>
      <c r="AH36" t="s">
        <v>163</v>
      </c>
      <c r="AI36" t="s">
        <v>164</v>
      </c>
      <c r="AJ36" t="s">
        <v>165</v>
      </c>
      <c r="AK36" t="s">
        <v>166</v>
      </c>
      <c r="AL36" t="s">
        <v>167</v>
      </c>
      <c r="AM36" t="s">
        <v>168</v>
      </c>
      <c r="AN36" t="s">
        <v>169</v>
      </c>
      <c r="AO36" t="s">
        <v>170</v>
      </c>
      <c r="AP36" t="s">
        <v>171</v>
      </c>
      <c r="AQ36" t="s">
        <v>172</v>
      </c>
      <c r="AR36" t="s">
        <v>173</v>
      </c>
      <c r="AS36" t="s">
        <v>174</v>
      </c>
      <c r="AT36" t="s">
        <v>175</v>
      </c>
      <c r="AU36" t="s">
        <v>176</v>
      </c>
      <c r="AV36" t="s">
        <v>177</v>
      </c>
      <c r="AW36" t="s">
        <v>178</v>
      </c>
      <c r="AX36" t="s">
        <v>179</v>
      </c>
      <c r="AY36" t="s">
        <v>180</v>
      </c>
      <c r="AZ36" t="s">
        <v>181</v>
      </c>
      <c r="BA36" t="s">
        <v>182</v>
      </c>
      <c r="BB36" t="s">
        <v>183</v>
      </c>
      <c r="BC36" t="s">
        <v>184</v>
      </c>
      <c r="BD36" t="s">
        <v>185</v>
      </c>
      <c r="BE36" t="s">
        <v>186</v>
      </c>
      <c r="BF36" t="s">
        <v>187</v>
      </c>
      <c r="BG36" t="s">
        <v>188</v>
      </c>
      <c r="BH36" t="s">
        <v>189</v>
      </c>
      <c r="BI36" t="s">
        <v>190</v>
      </c>
      <c r="BJ36" t="s">
        <v>191</v>
      </c>
      <c r="BK36" t="s">
        <v>192</v>
      </c>
      <c r="BL36" t="s">
        <v>193</v>
      </c>
      <c r="BM36" t="s">
        <v>194</v>
      </c>
      <c r="BN36" t="s">
        <v>195</v>
      </c>
      <c r="BO36" t="s">
        <v>196</v>
      </c>
      <c r="BP36" t="s">
        <v>197</v>
      </c>
      <c r="BQ36" t="s">
        <v>198</v>
      </c>
      <c r="BR36" t="s">
        <v>199</v>
      </c>
      <c r="BS36" t="s">
        <v>200</v>
      </c>
      <c r="BT36" t="s">
        <v>201</v>
      </c>
      <c r="BU36" t="s">
        <v>202</v>
      </c>
      <c r="BV36" t="s">
        <v>203</v>
      </c>
      <c r="BW36" t="s">
        <v>204</v>
      </c>
      <c r="BX36" t="s">
        <v>205</v>
      </c>
      <c r="BY36" t="s">
        <v>206</v>
      </c>
      <c r="BZ36" t="s">
        <v>207</v>
      </c>
      <c r="CA36" t="s">
        <v>208</v>
      </c>
      <c r="CB36" t="s">
        <v>209</v>
      </c>
      <c r="CC36" t="s">
        <v>210</v>
      </c>
      <c r="CD36" t="s">
        <v>211</v>
      </c>
      <c r="CE36" t="s">
        <v>212</v>
      </c>
      <c r="CF36" t="s">
        <v>213</v>
      </c>
    </row>
    <row r="37" spans="2:84" x14ac:dyDescent="0.3">
      <c r="B37" t="s">
        <v>39</v>
      </c>
      <c r="C37" t="s">
        <v>214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500</v>
      </c>
      <c r="BY37">
        <v>0</v>
      </c>
      <c r="BZ37">
        <v>0</v>
      </c>
      <c r="CA37">
        <v>0</v>
      </c>
      <c r="CB37">
        <v>0</v>
      </c>
      <c r="CC37">
        <v>0</v>
      </c>
    </row>
    <row r="38" spans="2:84" x14ac:dyDescent="0.3">
      <c r="B38" t="s">
        <v>39</v>
      </c>
      <c r="C38" t="s">
        <v>215</v>
      </c>
      <c r="D38">
        <v>0</v>
      </c>
      <c r="CD38" t="b">
        <v>1</v>
      </c>
      <c r="CE38" t="b">
        <v>1</v>
      </c>
      <c r="CF38" t="b"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FC9CA-AB02-4E07-A78B-1E6CAF0AB52F}">
  <sheetPr codeName="Blad3"/>
  <dimension ref="B1:C5"/>
  <sheetViews>
    <sheetView workbookViewId="0">
      <selection activeCell="D20" sqref="D20"/>
    </sheetView>
  </sheetViews>
  <sheetFormatPr defaultRowHeight="14.4" x14ac:dyDescent="0.3"/>
  <cols>
    <col min="2" max="2" width="16.88671875" bestFit="1" customWidth="1"/>
    <col min="3" max="3" width="18.21875" bestFit="1" customWidth="1"/>
  </cols>
  <sheetData>
    <row r="1" spans="2:3" x14ac:dyDescent="0.3">
      <c r="B1" s="35"/>
    </row>
    <row r="2" spans="2:3" x14ac:dyDescent="0.3">
      <c r="B2" s="1" t="s">
        <v>67</v>
      </c>
      <c r="C2" s="2" t="s">
        <v>25</v>
      </c>
    </row>
    <row r="3" spans="2:3" x14ac:dyDescent="0.3">
      <c r="B3" s="1" t="s">
        <v>68</v>
      </c>
      <c r="C3" s="2" t="s">
        <v>26</v>
      </c>
    </row>
    <row r="5" spans="2:3" x14ac:dyDescent="0.3">
      <c r="C5" t="s">
        <v>69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11</vt:i4>
      </vt:variant>
      <vt:variant>
        <vt:lpstr>Benoemde bereiken</vt:lpstr>
      </vt:variant>
      <vt:variant>
        <vt:i4>20</vt:i4>
      </vt:variant>
    </vt:vector>
  </HeadingPairs>
  <TitlesOfParts>
    <vt:vector size="31" baseType="lpstr">
      <vt:lpstr>FORMULAS</vt:lpstr>
      <vt:lpstr>RATES_MACRO</vt:lpstr>
      <vt:lpstr>KRAKEN</vt:lpstr>
      <vt:lpstr>Bittrex</vt:lpstr>
      <vt:lpstr>Binance</vt:lpstr>
      <vt:lpstr>Poloniex</vt:lpstr>
      <vt:lpstr>WEXnz</vt:lpstr>
      <vt:lpstr>Kucoin</vt:lpstr>
      <vt:lpstr>Cryptopia</vt:lpstr>
      <vt:lpstr>Liqui</vt:lpstr>
      <vt:lpstr>Coinone</vt:lpstr>
      <vt:lpstr>apikey_binance</vt:lpstr>
      <vt:lpstr>apikey_bittrex</vt:lpstr>
      <vt:lpstr>apikey_btce</vt:lpstr>
      <vt:lpstr>apikey_coinone</vt:lpstr>
      <vt:lpstr>apikey_cryptopia</vt:lpstr>
      <vt:lpstr>apikey_kraken</vt:lpstr>
      <vt:lpstr>apikey_kucoin</vt:lpstr>
      <vt:lpstr>apikey_liqui</vt:lpstr>
      <vt:lpstr>apikey_poloniex</vt:lpstr>
      <vt:lpstr>apikey_wexnz</vt:lpstr>
      <vt:lpstr>secretkey_binance</vt:lpstr>
      <vt:lpstr>secretkey_bittrex</vt:lpstr>
      <vt:lpstr>secretkey_btce</vt:lpstr>
      <vt:lpstr>secretkey_coinone</vt:lpstr>
      <vt:lpstr>secretkey_cryptopia</vt:lpstr>
      <vt:lpstr>secretkey_kraken</vt:lpstr>
      <vt:lpstr>secretkey_kucoin</vt:lpstr>
      <vt:lpstr>secretkey_liqui</vt:lpstr>
      <vt:lpstr>secretkey_poloniex</vt:lpstr>
      <vt:lpstr>secretkey_wexnz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crypto_vba</dc:title>
  <dc:subject>crypto_vba</dc:subject>
  <dc:creator>Castoro;Koen Rijnsent</dc:creator>
  <cp:lastModifiedBy>Koen Rijnsent</cp:lastModifiedBy>
  <dcterms:created xsi:type="dcterms:W3CDTF">2017-05-23T15:57:57Z</dcterms:created>
  <dcterms:modified xsi:type="dcterms:W3CDTF">2018-02-28T16:56:24Z</dcterms:modified>
</cp:coreProperties>
</file>